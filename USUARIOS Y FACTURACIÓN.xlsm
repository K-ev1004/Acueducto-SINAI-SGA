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poSinaí\"/>
    </mc:Choice>
  </mc:AlternateContent>
  <xr:revisionPtr revIDLastSave="0" documentId="13_ncr:1_{B50BFF86-471E-4D98-B128-2683552CBC41}" xr6:coauthVersionLast="47" xr6:coauthVersionMax="47" xr10:uidLastSave="{00000000-0000-0000-0000-000000000000}"/>
  <bookViews>
    <workbookView xWindow="-120" yWindow="-120" windowWidth="29040" windowHeight="15720" tabRatio="791" firstSheet="1" activeTab="1" xr2:uid="{30F11E56-861A-442A-819F-E37C318322C2}"/>
  </bookViews>
  <sheets>
    <sheet name="USUARIOS" sheetId="7" state="hidden" r:id="rId1"/>
    <sheet name="Actualzar para factura" sheetId="1" r:id="rId2"/>
    <sheet name="PEG. USUARIO A FACTURAR" sheetId="4" r:id="rId3"/>
    <sheet name="VER FACTURA" sheetId="2" r:id="rId4"/>
    <sheet name="LISTADO" sheetId="9" state="hidden" r:id="rId5"/>
    <sheet name="TODAS LAS FACTURAS" sheetId="18" r:id="rId6"/>
    <sheet name="(Copia)TODAS LAS FACTURAS (4)" sheetId="19" r:id="rId7"/>
    <sheet name="Informe mensual" sheetId="11" r:id="rId8"/>
  </sheets>
  <definedNames>
    <definedName name="_xlnm.Print_Area" localSheetId="3">'VER FACTURA'!$A$1:$L$53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/>
  <c r="D33" i="2" s="1"/>
  <c r="N36" i="1"/>
  <c r="N68" i="1"/>
  <c r="N76" i="1"/>
  <c r="N94" i="1"/>
  <c r="N97" i="1"/>
  <c r="AI7" i="1"/>
  <c r="AJ7" i="1" s="1"/>
  <c r="L7" i="1"/>
  <c r="Q7" i="1" s="1"/>
  <c r="T7" i="1" s="1"/>
  <c r="AL7" i="1" s="1"/>
  <c r="AI112" i="1"/>
  <c r="AJ112" i="1" s="1"/>
  <c r="AI109" i="1"/>
  <c r="AJ109" i="1" s="1"/>
  <c r="AI88" i="1"/>
  <c r="AJ88" i="1" s="1"/>
  <c r="AI86" i="1"/>
  <c r="AJ86" i="1" s="1"/>
  <c r="AI76" i="1"/>
  <c r="AJ76" i="1" s="1"/>
  <c r="AI55" i="1"/>
  <c r="AJ55" i="1" s="1"/>
  <c r="AI53" i="1"/>
  <c r="AJ53" i="1" s="1"/>
  <c r="AI15" i="1"/>
  <c r="AJ15" i="1" s="1"/>
  <c r="AI6" i="1"/>
  <c r="AJ6" i="1" s="1"/>
  <c r="Q33" i="1"/>
  <c r="AI119" i="1"/>
  <c r="AJ119" i="1" s="1"/>
  <c r="AI113" i="1"/>
  <c r="AJ113" i="1" s="1"/>
  <c r="AI101" i="1"/>
  <c r="AJ101" i="1" s="1"/>
  <c r="AI100" i="1"/>
  <c r="AJ100" i="1" s="1"/>
  <c r="AI98" i="1"/>
  <c r="AJ98" i="1" s="1"/>
  <c r="AI97" i="1"/>
  <c r="AJ97" i="1" s="1"/>
  <c r="AI93" i="1"/>
  <c r="AJ93" i="1" s="1"/>
  <c r="AI89" i="1"/>
  <c r="AJ89" i="1" s="1"/>
  <c r="AI83" i="1"/>
  <c r="AJ83" i="1" s="1"/>
  <c r="AI67" i="1"/>
  <c r="AJ67" i="1" s="1"/>
  <c r="AI66" i="1"/>
  <c r="AJ66" i="1" s="1"/>
  <c r="AI65" i="1"/>
  <c r="AJ65" i="1" s="1"/>
  <c r="AI63" i="1"/>
  <c r="AJ63" i="1" s="1"/>
  <c r="AI59" i="1"/>
  <c r="AJ59" i="1" s="1"/>
  <c r="AI54" i="1"/>
  <c r="AJ54" i="1" s="1"/>
  <c r="AI48" i="1"/>
  <c r="AJ48" i="1" s="1"/>
  <c r="AI43" i="1"/>
  <c r="AJ43" i="1" s="1"/>
  <c r="AI42" i="1"/>
  <c r="AJ42" i="1" s="1"/>
  <c r="AI41" i="1"/>
  <c r="AJ41" i="1" s="1"/>
  <c r="AI39" i="1"/>
  <c r="AJ39" i="1" s="1"/>
  <c r="AI38" i="1"/>
  <c r="AJ38" i="1" s="1"/>
  <c r="AI35" i="1"/>
  <c r="AJ35" i="1" s="1"/>
  <c r="AI34" i="1"/>
  <c r="AJ34" i="1" s="1"/>
  <c r="AI30" i="1"/>
  <c r="AJ30" i="1" s="1"/>
  <c r="AI29" i="1"/>
  <c r="AJ29" i="1" s="1"/>
  <c r="AI27" i="1"/>
  <c r="AJ27" i="1" s="1"/>
  <c r="AI23" i="1"/>
  <c r="AJ23" i="1" s="1"/>
  <c r="AI18" i="1"/>
  <c r="AJ18" i="1" s="1"/>
  <c r="AI17" i="1"/>
  <c r="AJ17" i="1" s="1"/>
  <c r="AI14" i="1"/>
  <c r="AJ14" i="1" s="1"/>
  <c r="AI5" i="1"/>
  <c r="AJ5" i="1" s="1"/>
  <c r="AI4" i="1"/>
  <c r="AJ4" i="1" s="1"/>
  <c r="AI117" i="1"/>
  <c r="AJ117" i="1" s="1"/>
  <c r="AI115" i="1"/>
  <c r="AJ115" i="1" s="1"/>
  <c r="AI105" i="1"/>
  <c r="AJ105" i="1" s="1"/>
  <c r="AI103" i="1"/>
  <c r="AJ103" i="1" s="1"/>
  <c r="AI92" i="1"/>
  <c r="AJ92" i="1" s="1"/>
  <c r="AI91" i="1"/>
  <c r="AJ91" i="1" s="1"/>
  <c r="AI90" i="1"/>
  <c r="AJ90" i="1" s="1"/>
  <c r="AI85" i="1"/>
  <c r="AJ85" i="1" s="1"/>
  <c r="AI81" i="1"/>
  <c r="AJ81" i="1" s="1"/>
  <c r="AI79" i="1"/>
  <c r="AJ79" i="1" s="1"/>
  <c r="AI70" i="1"/>
  <c r="AJ70" i="1" s="1"/>
  <c r="AI69" i="1"/>
  <c r="AJ69" i="1" s="1"/>
  <c r="AI68" i="1"/>
  <c r="AJ68" i="1" s="1"/>
  <c r="AI57" i="1"/>
  <c r="AJ57" i="1" s="1"/>
  <c r="AI50" i="1"/>
  <c r="AJ50" i="1" s="1"/>
  <c r="AI46" i="1"/>
  <c r="AJ46" i="1" s="1"/>
  <c r="AI45" i="1"/>
  <c r="AJ45" i="1" s="1"/>
  <c r="AI44" i="1"/>
  <c r="AJ44" i="1" s="1"/>
  <c r="AI33" i="1"/>
  <c r="AJ33" i="1" s="1"/>
  <c r="AI32" i="1"/>
  <c r="AJ32" i="1" s="1"/>
  <c r="AI31" i="1"/>
  <c r="AJ31" i="1" s="1"/>
  <c r="AI26" i="1"/>
  <c r="AJ26" i="1" s="1"/>
  <c r="AI19" i="1"/>
  <c r="AJ19" i="1" s="1"/>
  <c r="AI16" i="1"/>
  <c r="AJ16" i="1" s="1"/>
  <c r="AI10" i="1"/>
  <c r="AJ10" i="1" s="1"/>
  <c r="AI9" i="1"/>
  <c r="AJ9" i="1" s="1"/>
  <c r="AI8" i="1"/>
  <c r="AJ8" i="1" s="1"/>
  <c r="AI95" i="1"/>
  <c r="AJ95" i="1" s="1"/>
  <c r="L95" i="1"/>
  <c r="N95" i="1" s="1"/>
  <c r="Q95" i="1" s="1"/>
  <c r="T95" i="1" s="1"/>
  <c r="AL95" i="1" s="1"/>
  <c r="P121" i="1"/>
  <c r="AI72" i="1"/>
  <c r="AJ72" i="1" s="1"/>
  <c r="AI61" i="1"/>
  <c r="AJ61" i="1" s="1"/>
  <c r="AI49" i="1"/>
  <c r="AJ49" i="1" s="1"/>
  <c r="AI37" i="1"/>
  <c r="AJ37" i="1" s="1"/>
  <c r="AI25" i="1"/>
  <c r="AJ25" i="1" s="1"/>
  <c r="AI13" i="1"/>
  <c r="AJ13" i="1" s="1"/>
  <c r="AI80" i="1"/>
  <c r="AJ80" i="1" s="1"/>
  <c r="AI78" i="1"/>
  <c r="AJ78" i="1" s="1"/>
  <c r="AI77" i="1"/>
  <c r="AJ77" i="1" s="1"/>
  <c r="AI75" i="1"/>
  <c r="AJ75" i="1" s="1"/>
  <c r="AI21" i="1"/>
  <c r="AJ21" i="1" s="1"/>
  <c r="L8" i="1"/>
  <c r="L65" i="1"/>
  <c r="N65" i="1" s="1"/>
  <c r="Q65" i="1" s="1"/>
  <c r="Q8" i="1"/>
  <c r="L87" i="1"/>
  <c r="N87" i="1" s="1"/>
  <c r="Q87" i="1" s="1"/>
  <c r="T87" i="1" s="1"/>
  <c r="AL87" i="1" s="1"/>
  <c r="AI118" i="1"/>
  <c r="AJ118" i="1" s="1"/>
  <c r="AI104" i="1"/>
  <c r="AJ104" i="1" s="1"/>
  <c r="Q88" i="1"/>
  <c r="T88" i="1" s="1"/>
  <c r="AL88" i="1" s="1"/>
  <c r="L88" i="1"/>
  <c r="AH1" i="1"/>
  <c r="L6" i="1"/>
  <c r="N6" i="1" s="1"/>
  <c r="Q6" i="1" s="1"/>
  <c r="AI87" i="1"/>
  <c r="AJ87" i="1" s="1"/>
  <c r="AI71" i="1"/>
  <c r="AJ71" i="1" s="1"/>
  <c r="AI60" i="1"/>
  <c r="AJ60" i="1" s="1"/>
  <c r="AI52" i="1"/>
  <c r="AJ52" i="1" s="1"/>
  <c r="AI40" i="1"/>
  <c r="AJ40" i="1" s="1"/>
  <c r="AI36" i="1"/>
  <c r="AJ36" i="1" s="1"/>
  <c r="AI24" i="1"/>
  <c r="AJ24" i="1" s="1"/>
  <c r="AI12" i="1"/>
  <c r="AJ12" i="1" s="1"/>
  <c r="AI114" i="1"/>
  <c r="AJ114" i="1" s="1"/>
  <c r="AI111" i="1"/>
  <c r="AJ111" i="1" s="1"/>
  <c r="AI110" i="1"/>
  <c r="AJ110" i="1" s="1"/>
  <c r="AI74" i="1"/>
  <c r="AJ74" i="1" s="1"/>
  <c r="AI73" i="1"/>
  <c r="AJ73" i="1" s="1"/>
  <c r="AI62" i="1"/>
  <c r="AJ62" i="1" s="1"/>
  <c r="AI28" i="1"/>
  <c r="AJ28" i="1" s="1"/>
  <c r="AI3" i="1"/>
  <c r="AJ3" i="1" s="1"/>
  <c r="G1" i="1"/>
  <c r="AI108" i="1"/>
  <c r="AJ108" i="1" s="1"/>
  <c r="AI107" i="1"/>
  <c r="AJ107" i="1" s="1"/>
  <c r="L33" i="1"/>
  <c r="AI120" i="1"/>
  <c r="AJ120" i="1" s="1"/>
  <c r="AI116" i="1"/>
  <c r="AJ116" i="1" s="1"/>
  <c r="AI106" i="1"/>
  <c r="AJ106" i="1" s="1"/>
  <c r="AI102" i="1"/>
  <c r="AJ102" i="1" s="1"/>
  <c r="AI99" i="1"/>
  <c r="AJ99" i="1" s="1"/>
  <c r="AI96" i="1"/>
  <c r="AJ96" i="1" s="1"/>
  <c r="AI94" i="1"/>
  <c r="AJ94" i="1" s="1"/>
  <c r="AI84" i="1"/>
  <c r="AJ84" i="1" s="1"/>
  <c r="AI82" i="1"/>
  <c r="AJ82" i="1" s="1"/>
  <c r="AI64" i="1"/>
  <c r="AJ64" i="1" s="1"/>
  <c r="AI58" i="1"/>
  <c r="AJ58" i="1" s="1"/>
  <c r="AI56" i="1"/>
  <c r="AJ56" i="1" s="1"/>
  <c r="AI51" i="1"/>
  <c r="AJ51" i="1" s="1"/>
  <c r="AI47" i="1"/>
  <c r="AJ47" i="1" s="1"/>
  <c r="AI22" i="1"/>
  <c r="AJ22" i="1" s="1"/>
  <c r="AI20" i="1"/>
  <c r="AJ20" i="1" s="1"/>
  <c r="AI11" i="1"/>
  <c r="AJ11" i="1" s="1"/>
  <c r="E1" i="11"/>
  <c r="G121" i="1"/>
  <c r="C3" i="11" s="1"/>
  <c r="K1" i="1"/>
  <c r="J6" i="2"/>
  <c r="B49" i="2"/>
  <c r="K46" i="2"/>
  <c r="H46" i="2"/>
  <c r="H44" i="2"/>
  <c r="K42" i="2"/>
  <c r="H42" i="2"/>
  <c r="H40" i="2"/>
  <c r="K38" i="2"/>
  <c r="H38" i="2"/>
  <c r="K36" i="2"/>
  <c r="H36" i="2"/>
  <c r="J34" i="2"/>
  <c r="G34" i="2"/>
  <c r="H32" i="2"/>
  <c r="E32" i="2"/>
  <c r="C32" i="2"/>
  <c r="K18" i="2"/>
  <c r="H18" i="2"/>
  <c r="H16" i="2"/>
  <c r="K14" i="2"/>
  <c r="H14" i="2"/>
  <c r="H12" i="2"/>
  <c r="K10" i="2"/>
  <c r="H10" i="2"/>
  <c r="K8" i="2"/>
  <c r="H8" i="2"/>
  <c r="G6" i="2"/>
  <c r="H4" i="2"/>
  <c r="S121" i="1"/>
  <c r="D19" i="11" s="1"/>
  <c r="R121" i="1"/>
  <c r="D21" i="11" s="1"/>
  <c r="L120" i="1"/>
  <c r="Q120" i="1" s="1"/>
  <c r="L119" i="1"/>
  <c r="N119" i="1" s="1"/>
  <c r="Q119" i="1" s="1"/>
  <c r="L118" i="1"/>
  <c r="N118" i="1" s="1"/>
  <c r="Q118" i="1" s="1"/>
  <c r="L117" i="1"/>
  <c r="N117" i="1" s="1"/>
  <c r="Q117" i="1" s="1"/>
  <c r="L116" i="1"/>
  <c r="N116" i="1" s="1"/>
  <c r="Q116" i="1" s="1"/>
  <c r="L115" i="1"/>
  <c r="N115" i="1" s="1"/>
  <c r="Q115" i="1" s="1"/>
  <c r="L114" i="1"/>
  <c r="N114" i="1" s="1"/>
  <c r="Q114" i="1" s="1"/>
  <c r="L113" i="1"/>
  <c r="Q113" i="1" s="1"/>
  <c r="L112" i="1"/>
  <c r="N112" i="1" s="1"/>
  <c r="Q112" i="1" s="1"/>
  <c r="T112" i="1" s="1"/>
  <c r="AL112" i="1" s="1"/>
  <c r="L111" i="1"/>
  <c r="L110" i="1"/>
  <c r="N110" i="1" s="1"/>
  <c r="Q110" i="1" s="1"/>
  <c r="L109" i="1"/>
  <c r="N109" i="1" s="1"/>
  <c r="L108" i="1"/>
  <c r="N108" i="1" s="1"/>
  <c r="Q108" i="1" s="1"/>
  <c r="L107" i="1"/>
  <c r="N107" i="1" s="1"/>
  <c r="Q107" i="1" s="1"/>
  <c r="T107" i="1" s="1"/>
  <c r="AL107" i="1" s="1"/>
  <c r="L106" i="1"/>
  <c r="Q106" i="1" s="1"/>
  <c r="L105" i="1"/>
  <c r="N105" i="1" s="1"/>
  <c r="Q105" i="1" s="1"/>
  <c r="L104" i="1"/>
  <c r="N104" i="1" s="1"/>
  <c r="Q104" i="1" s="1"/>
  <c r="L103" i="1"/>
  <c r="L102" i="1"/>
  <c r="N102" i="1" s="1"/>
  <c r="Q102" i="1" s="1"/>
  <c r="L101" i="1"/>
  <c r="N101" i="1" s="1"/>
  <c r="Q101" i="1" s="1"/>
  <c r="L100" i="1"/>
  <c r="N100" i="1" s="1"/>
  <c r="Q100" i="1" s="1"/>
  <c r="T100" i="1" s="1"/>
  <c r="AL100" i="1" s="1"/>
  <c r="L99" i="1"/>
  <c r="N99" i="1" s="1"/>
  <c r="Q99" i="1" s="1"/>
  <c r="L98" i="1"/>
  <c r="L97" i="1"/>
  <c r="L96" i="1"/>
  <c r="N96" i="1" s="1"/>
  <c r="Q96" i="1" s="1"/>
  <c r="L94" i="1"/>
  <c r="L93" i="1"/>
  <c r="N93" i="1" s="1"/>
  <c r="L92" i="1"/>
  <c r="N92" i="1" s="1"/>
  <c r="Q92" i="1" s="1"/>
  <c r="L91" i="1"/>
  <c r="N91" i="1" s="1"/>
  <c r="Q91" i="1" s="1"/>
  <c r="L90" i="1"/>
  <c r="N90" i="1" s="1"/>
  <c r="Q90" i="1" s="1"/>
  <c r="L89" i="1"/>
  <c r="N89" i="1" s="1"/>
  <c r="Q89" i="1" s="1"/>
  <c r="L86" i="1"/>
  <c r="N86" i="1" s="1"/>
  <c r="Q86" i="1" s="1"/>
  <c r="L85" i="1"/>
  <c r="L84" i="1"/>
  <c r="L83" i="1"/>
  <c r="Q83" i="1" s="1"/>
  <c r="L82" i="1"/>
  <c r="N82" i="1" s="1"/>
  <c r="Q82" i="1" s="1"/>
  <c r="L81" i="1"/>
  <c r="N81" i="1" s="1"/>
  <c r="Q81" i="1" s="1"/>
  <c r="L80" i="1"/>
  <c r="L79" i="1"/>
  <c r="L78" i="1"/>
  <c r="N78" i="1" s="1"/>
  <c r="L77" i="1"/>
  <c r="N77" i="1" s="1"/>
  <c r="Q77" i="1" s="1"/>
  <c r="L76" i="1"/>
  <c r="Q76" i="1" s="1"/>
  <c r="L75" i="1"/>
  <c r="N75" i="1" s="1"/>
  <c r="Q75" i="1" s="1"/>
  <c r="T75" i="1" s="1"/>
  <c r="AL75" i="1" s="1"/>
  <c r="L74" i="1"/>
  <c r="N74" i="1" s="1"/>
  <c r="Q74" i="1" s="1"/>
  <c r="L73" i="1"/>
  <c r="N73" i="1" s="1"/>
  <c r="Q73" i="1" s="1"/>
  <c r="L72" i="1"/>
  <c r="L71" i="1"/>
  <c r="N71" i="1" s="1"/>
  <c r="Q71" i="1" s="1"/>
  <c r="L70" i="1"/>
  <c r="N70" i="1" s="1"/>
  <c r="L69" i="1"/>
  <c r="N69" i="1" s="1"/>
  <c r="L68" i="1"/>
  <c r="L67" i="1"/>
  <c r="Q67" i="1" s="1"/>
  <c r="L66" i="1"/>
  <c r="Q66" i="1" s="1"/>
  <c r="L64" i="1"/>
  <c r="N64" i="1" s="1"/>
  <c r="Q64" i="1" s="1"/>
  <c r="L63" i="1"/>
  <c r="N63" i="1" s="1"/>
  <c r="Q63" i="1" s="1"/>
  <c r="L62" i="1"/>
  <c r="N62" i="1" s="1"/>
  <c r="Q62" i="1" s="1"/>
  <c r="L61" i="1"/>
  <c r="L60" i="1"/>
  <c r="Q60" i="1" s="1"/>
  <c r="L59" i="1"/>
  <c r="N59" i="1" s="1"/>
  <c r="Q59" i="1" s="1"/>
  <c r="L58" i="1"/>
  <c r="L57" i="1"/>
  <c r="N57" i="1" s="1"/>
  <c r="Q57" i="1" s="1"/>
  <c r="L56" i="1"/>
  <c r="N56" i="1" s="1"/>
  <c r="Q56" i="1" s="1"/>
  <c r="L55" i="1"/>
  <c r="N55" i="1" s="1"/>
  <c r="Q55" i="1" s="1"/>
  <c r="L54" i="1"/>
  <c r="N54" i="1" s="1"/>
  <c r="Q54" i="1" s="1"/>
  <c r="L53" i="1"/>
  <c r="N53" i="1" s="1"/>
  <c r="Q53" i="1" s="1"/>
  <c r="L52" i="1"/>
  <c r="Q52" i="1" s="1"/>
  <c r="L51" i="1"/>
  <c r="N51" i="1" s="1"/>
  <c r="Q51" i="1" s="1"/>
  <c r="L50" i="1"/>
  <c r="N50" i="1" s="1"/>
  <c r="Q50" i="1" s="1"/>
  <c r="L49" i="1"/>
  <c r="N49" i="1" s="1"/>
  <c r="Q49" i="1" s="1"/>
  <c r="L48" i="1"/>
  <c r="N48" i="1" s="1"/>
  <c r="Q48" i="1" s="1"/>
  <c r="L47" i="1"/>
  <c r="Q47" i="1" s="1"/>
  <c r="L46" i="1"/>
  <c r="N46" i="1" s="1"/>
  <c r="Q46" i="1" s="1"/>
  <c r="L45" i="1"/>
  <c r="N45" i="1" s="1"/>
  <c r="Q45" i="1" s="1"/>
  <c r="L44" i="1"/>
  <c r="Q43" i="1"/>
  <c r="L43" i="1"/>
  <c r="L42" i="1"/>
  <c r="N42" i="1" s="1"/>
  <c r="Q42" i="1" s="1"/>
  <c r="L41" i="1"/>
  <c r="N41" i="1" s="1"/>
  <c r="Q41" i="1" s="1"/>
  <c r="L40" i="1"/>
  <c r="N40" i="1" s="1"/>
  <c r="Q40" i="1" s="1"/>
  <c r="T40" i="1" s="1"/>
  <c r="AL40" i="1" s="1"/>
  <c r="L39" i="1"/>
  <c r="N39" i="1" s="1"/>
  <c r="Q39" i="1" s="1"/>
  <c r="L38" i="1"/>
  <c r="N38" i="1" s="1"/>
  <c r="Q38" i="1" s="1"/>
  <c r="L37" i="1"/>
  <c r="N37" i="1" s="1"/>
  <c r="Q37" i="1" s="1"/>
  <c r="L36" i="1"/>
  <c r="L35" i="1"/>
  <c r="Q35" i="1" s="1"/>
  <c r="L34" i="1"/>
  <c r="N34" i="1" s="1"/>
  <c r="L32" i="1"/>
  <c r="N32" i="1" s="1"/>
  <c r="L31" i="1"/>
  <c r="N31" i="1" s="1"/>
  <c r="Q31" i="1" s="1"/>
  <c r="L30" i="1"/>
  <c r="N30" i="1" s="1"/>
  <c r="Q30" i="1" s="1"/>
  <c r="L29" i="1"/>
  <c r="N29" i="1" s="1"/>
  <c r="Q29" i="1" s="1"/>
  <c r="L28" i="1"/>
  <c r="N28" i="1" s="1"/>
  <c r="Q28" i="1" s="1"/>
  <c r="T28" i="1" s="1"/>
  <c r="AL28" i="1" s="1"/>
  <c r="L27" i="1"/>
  <c r="N27" i="1" s="1"/>
  <c r="L26" i="1"/>
  <c r="N26" i="1" s="1"/>
  <c r="Q26" i="1" s="1"/>
  <c r="L25" i="1"/>
  <c r="N25" i="1" s="1"/>
  <c r="Q25" i="1" s="1"/>
  <c r="L24" i="1"/>
  <c r="N24" i="1" s="1"/>
  <c r="Q24" i="1" s="1"/>
  <c r="L23" i="1"/>
  <c r="N23" i="1" s="1"/>
  <c r="Q23" i="1" s="1"/>
  <c r="L22" i="1"/>
  <c r="N22" i="1" s="1"/>
  <c r="Q22" i="1" s="1"/>
  <c r="L21" i="1"/>
  <c r="Q21" i="1" s="1"/>
  <c r="L20" i="1"/>
  <c r="Q19" i="1"/>
  <c r="L19" i="1"/>
  <c r="Q18" i="1"/>
  <c r="L18" i="1"/>
  <c r="L17" i="1"/>
  <c r="N17" i="1" s="1"/>
  <c r="Q17" i="1" s="1"/>
  <c r="T17" i="1" s="1"/>
  <c r="AL17" i="1" s="1"/>
  <c r="L16" i="1"/>
  <c r="N16" i="1" s="1"/>
  <c r="Q16" i="1" s="1"/>
  <c r="T16" i="1" s="1"/>
  <c r="AL16" i="1" s="1"/>
  <c r="L15" i="1"/>
  <c r="L14" i="1"/>
  <c r="N14" i="1" s="1"/>
  <c r="Q14" i="1" s="1"/>
  <c r="L13" i="1"/>
  <c r="N13" i="1" s="1"/>
  <c r="Q13" i="1" s="1"/>
  <c r="L12" i="1"/>
  <c r="Q12" i="1" s="1"/>
  <c r="L11" i="1"/>
  <c r="Q11" i="1" s="1"/>
  <c r="L10" i="1"/>
  <c r="N10" i="1" s="1"/>
  <c r="Q10" i="1" s="1"/>
  <c r="L9" i="1"/>
  <c r="N9" i="1" s="1"/>
  <c r="Q9" i="1" s="1"/>
  <c r="Q5" i="1"/>
  <c r="L5" i="1"/>
  <c r="L4" i="1"/>
  <c r="N4" i="1" s="1"/>
  <c r="Q4" i="1" s="1"/>
  <c r="L3" i="1"/>
  <c r="N3" i="1" s="1"/>
  <c r="Q3" i="1" s="1"/>
  <c r="T3" i="1" s="1"/>
  <c r="AL3" i="1" s="1"/>
  <c r="S1" i="1"/>
  <c r="D13" i="11" s="1"/>
  <c r="R1" i="1"/>
  <c r="D15" i="11" s="1"/>
  <c r="P1" i="1"/>
  <c r="F1" i="1"/>
  <c r="D5" i="11" s="1"/>
  <c r="Q68" i="1" l="1"/>
  <c r="T68" i="1" s="1"/>
  <c r="AL68" i="1" s="1"/>
  <c r="AK68" i="1" s="1"/>
  <c r="AK7" i="1"/>
  <c r="Q109" i="1"/>
  <c r="T109" i="1" s="1"/>
  <c r="AL109" i="1" s="1"/>
  <c r="AK109" i="1" s="1"/>
  <c r="Q20" i="1"/>
  <c r="T20" i="1" s="1"/>
  <c r="AL20" i="1" s="1"/>
  <c r="AK20" i="1" s="1"/>
  <c r="T43" i="1"/>
  <c r="AL43" i="1" s="1"/>
  <c r="T31" i="1"/>
  <c r="AL31" i="1" s="1"/>
  <c r="AK31" i="1" s="1"/>
  <c r="T11" i="1"/>
  <c r="AL11" i="1" s="1"/>
  <c r="T19" i="1"/>
  <c r="AL19" i="1" s="1"/>
  <c r="T55" i="1"/>
  <c r="AL55" i="1" s="1"/>
  <c r="AK55" i="1" s="1"/>
  <c r="T35" i="1"/>
  <c r="AL35" i="1" s="1"/>
  <c r="AK35" i="1" s="1"/>
  <c r="T23" i="1"/>
  <c r="AL23" i="1" s="1"/>
  <c r="AK23" i="1" s="1"/>
  <c r="T47" i="1"/>
  <c r="AL47" i="1" s="1"/>
  <c r="AK47" i="1" s="1"/>
  <c r="T82" i="1"/>
  <c r="AL82" i="1" s="1"/>
  <c r="AK82" i="1" s="1"/>
  <c r="T67" i="1"/>
  <c r="AL67" i="1" s="1"/>
  <c r="AK67" i="1" s="1"/>
  <c r="T59" i="1"/>
  <c r="AL59" i="1" s="1"/>
  <c r="AK59" i="1" s="1"/>
  <c r="T8" i="1"/>
  <c r="AL8" i="1" s="1"/>
  <c r="AK8" i="1" s="1"/>
  <c r="AK95" i="1"/>
  <c r="T14" i="1"/>
  <c r="AL14" i="1" s="1"/>
  <c r="AK14" i="1" s="1"/>
  <c r="T110" i="1"/>
  <c r="AL110" i="1" s="1"/>
  <c r="AK110" i="1" s="1"/>
  <c r="T13" i="1"/>
  <c r="AL13" i="1" s="1"/>
  <c r="AK13" i="1" s="1"/>
  <c r="T38" i="1"/>
  <c r="AL38" i="1" s="1"/>
  <c r="AK38" i="1" s="1"/>
  <c r="T50" i="1"/>
  <c r="AL50" i="1" s="1"/>
  <c r="AK50" i="1" s="1"/>
  <c r="T73" i="1"/>
  <c r="AL73" i="1" s="1"/>
  <c r="AK73" i="1" s="1"/>
  <c r="T62" i="1"/>
  <c r="AL62" i="1" s="1"/>
  <c r="AK62" i="1" s="1"/>
  <c r="T39" i="1"/>
  <c r="AL39" i="1" s="1"/>
  <c r="AK39" i="1" s="1"/>
  <c r="T91" i="1"/>
  <c r="AL91" i="1" s="1"/>
  <c r="AK91" i="1" s="1"/>
  <c r="T104" i="1"/>
  <c r="AL104" i="1" s="1"/>
  <c r="AK104" i="1" s="1"/>
  <c r="T116" i="1"/>
  <c r="AL116" i="1" s="1"/>
  <c r="AK116" i="1" s="1"/>
  <c r="T65" i="1"/>
  <c r="AL65" i="1" s="1"/>
  <c r="AK65" i="1" s="1"/>
  <c r="T56" i="1"/>
  <c r="AL56" i="1" s="1"/>
  <c r="AK56" i="1" s="1"/>
  <c r="Q93" i="1"/>
  <c r="T93" i="1" s="1"/>
  <c r="AL93" i="1" s="1"/>
  <c r="AK93" i="1" s="1"/>
  <c r="Q15" i="1"/>
  <c r="T15" i="1" s="1"/>
  <c r="AL15" i="1" s="1"/>
  <c r="AK15" i="1" s="1"/>
  <c r="N72" i="1"/>
  <c r="Q72" i="1" s="1"/>
  <c r="T72" i="1" s="1"/>
  <c r="AL72" i="1" s="1"/>
  <c r="AK72" i="1" s="1"/>
  <c r="Q32" i="1"/>
  <c r="T32" i="1" s="1"/>
  <c r="AL32" i="1" s="1"/>
  <c r="AK32" i="1" s="1"/>
  <c r="Q111" i="1"/>
  <c r="T111" i="1" s="1"/>
  <c r="AL111" i="1" s="1"/>
  <c r="AK111" i="1" s="1"/>
  <c r="T33" i="1"/>
  <c r="AL33" i="1" s="1"/>
  <c r="AK33" i="1" s="1"/>
  <c r="T117" i="1"/>
  <c r="AL117" i="1" s="1"/>
  <c r="AK117" i="1" s="1"/>
  <c r="T21" i="1"/>
  <c r="AL21" i="1" s="1"/>
  <c r="AK21" i="1" s="1"/>
  <c r="T96" i="1"/>
  <c r="AL96" i="1" s="1"/>
  <c r="AK96" i="1" s="1"/>
  <c r="T108" i="1"/>
  <c r="AL108" i="1" s="1"/>
  <c r="AK108" i="1" s="1"/>
  <c r="T120" i="1"/>
  <c r="AL120" i="1" s="1"/>
  <c r="AK120" i="1" s="1"/>
  <c r="Q78" i="1"/>
  <c r="T78" i="1" s="1"/>
  <c r="AL78" i="1" s="1"/>
  <c r="AK78" i="1" s="1"/>
  <c r="T106" i="1"/>
  <c r="AL106" i="1" s="1"/>
  <c r="AK106" i="1" s="1"/>
  <c r="T18" i="1"/>
  <c r="AL18" i="1" s="1"/>
  <c r="AK18" i="1" s="1"/>
  <c r="T41" i="1"/>
  <c r="AL41" i="1" s="1"/>
  <c r="AK41" i="1" s="1"/>
  <c r="T5" i="1"/>
  <c r="AL5" i="1" s="1"/>
  <c r="AK5" i="1" s="1"/>
  <c r="T29" i="1"/>
  <c r="AL29" i="1" s="1"/>
  <c r="AK29" i="1" s="1"/>
  <c r="T99" i="1"/>
  <c r="AL99" i="1" s="1"/>
  <c r="AK99" i="1" s="1"/>
  <c r="T51" i="1"/>
  <c r="AL51" i="1" s="1"/>
  <c r="AK51" i="1" s="1"/>
  <c r="T53" i="1"/>
  <c r="AL53" i="1" s="1"/>
  <c r="AK53" i="1" s="1"/>
  <c r="T74" i="1"/>
  <c r="AL74" i="1" s="1"/>
  <c r="AK74" i="1" s="1"/>
  <c r="T86" i="1"/>
  <c r="AL86" i="1" s="1"/>
  <c r="AK86" i="1" s="1"/>
  <c r="T101" i="1"/>
  <c r="AL101" i="1" s="1"/>
  <c r="AK101" i="1" s="1"/>
  <c r="T113" i="1"/>
  <c r="AL113" i="1" s="1"/>
  <c r="AK113" i="1" s="1"/>
  <c r="T54" i="1"/>
  <c r="AL54" i="1" s="1"/>
  <c r="AK54" i="1" s="1"/>
  <c r="T64" i="1"/>
  <c r="AL64" i="1" s="1"/>
  <c r="AK64" i="1" s="1"/>
  <c r="T76" i="1"/>
  <c r="AL76" i="1" s="1"/>
  <c r="AK76" i="1" s="1"/>
  <c r="T89" i="1"/>
  <c r="AL89" i="1" s="1"/>
  <c r="AK89" i="1" s="1"/>
  <c r="T102" i="1"/>
  <c r="AL102" i="1" s="1"/>
  <c r="AK102" i="1" s="1"/>
  <c r="T114" i="1"/>
  <c r="AL114" i="1" s="1"/>
  <c r="AK114" i="1" s="1"/>
  <c r="AK112" i="1"/>
  <c r="AK16" i="1"/>
  <c r="AK17" i="1"/>
  <c r="AK88" i="1"/>
  <c r="AK28" i="1"/>
  <c r="AK11" i="1"/>
  <c r="AK43" i="1"/>
  <c r="AK19" i="1"/>
  <c r="AK107" i="1"/>
  <c r="AK100" i="1"/>
  <c r="AK75" i="1"/>
  <c r="AK3" i="1"/>
  <c r="AK40" i="1"/>
  <c r="AK87" i="1"/>
  <c r="AJ1" i="1"/>
  <c r="Q69" i="1"/>
  <c r="T69" i="1" s="1"/>
  <c r="AL69" i="1" s="1"/>
  <c r="AK69" i="1" s="1"/>
  <c r="T63" i="1"/>
  <c r="AL63" i="1" s="1"/>
  <c r="AK63" i="1" s="1"/>
  <c r="Q97" i="1"/>
  <c r="T97" i="1" s="1"/>
  <c r="AL97" i="1" s="1"/>
  <c r="AK97" i="1" s="1"/>
  <c r="Q27" i="1"/>
  <c r="T27" i="1" s="1"/>
  <c r="AL27" i="1" s="1"/>
  <c r="AK27" i="1" s="1"/>
  <c r="Q98" i="1"/>
  <c r="T98" i="1" s="1"/>
  <c r="AL98" i="1" s="1"/>
  <c r="AK98" i="1" s="1"/>
  <c r="Q44" i="1"/>
  <c r="T44" i="1" s="1"/>
  <c r="AL44" i="1" s="1"/>
  <c r="AK44" i="1" s="1"/>
  <c r="T6" i="1"/>
  <c r="AL6" i="1" s="1"/>
  <c r="AK6" i="1" s="1"/>
  <c r="Q94" i="1"/>
  <c r="T94" i="1" s="1"/>
  <c r="AL94" i="1" s="1"/>
  <c r="AK94" i="1" s="1"/>
  <c r="N79" i="1"/>
  <c r="Q79" i="1" s="1"/>
  <c r="T79" i="1" s="1"/>
  <c r="AL79" i="1" s="1"/>
  <c r="AK79" i="1" s="1"/>
  <c r="N85" i="1"/>
  <c r="Q85" i="1" s="1"/>
  <c r="T85" i="1" s="1"/>
  <c r="AL85" i="1" s="1"/>
  <c r="AK85" i="1" s="1"/>
  <c r="N84" i="1"/>
  <c r="Q84" i="1" s="1"/>
  <c r="T84" i="1" s="1"/>
  <c r="AL84" i="1" s="1"/>
  <c r="AK84" i="1" s="1"/>
  <c r="T37" i="1"/>
  <c r="AL37" i="1" s="1"/>
  <c r="AK37" i="1" s="1"/>
  <c r="T77" i="1"/>
  <c r="AL77" i="1" s="1"/>
  <c r="AK77" i="1" s="1"/>
  <c r="T90" i="1"/>
  <c r="AL90" i="1" s="1"/>
  <c r="AK90" i="1" s="1"/>
  <c r="T66" i="1"/>
  <c r="AL66" i="1" s="1"/>
  <c r="AK66" i="1" s="1"/>
  <c r="T49" i="1"/>
  <c r="AL49" i="1" s="1"/>
  <c r="AK49" i="1" s="1"/>
  <c r="T92" i="1"/>
  <c r="AL92" i="1" s="1"/>
  <c r="AK92" i="1" s="1"/>
  <c r="T105" i="1"/>
  <c r="AL105" i="1" s="1"/>
  <c r="AK105" i="1" s="1"/>
  <c r="T25" i="1"/>
  <c r="AL25" i="1" s="1"/>
  <c r="AK25" i="1" s="1"/>
  <c r="T4" i="1"/>
  <c r="AL4" i="1" s="1"/>
  <c r="AK4" i="1" s="1"/>
  <c r="T115" i="1"/>
  <c r="AL115" i="1" s="1"/>
  <c r="AK115" i="1" s="1"/>
  <c r="T42" i="1"/>
  <c r="AL42" i="1" s="1"/>
  <c r="AK42" i="1" s="1"/>
  <c r="T30" i="1"/>
  <c r="AL30" i="1" s="1"/>
  <c r="AK30" i="1" s="1"/>
  <c r="T26" i="1"/>
  <c r="AL26" i="1" s="1"/>
  <c r="AK26" i="1" s="1"/>
  <c r="Q36" i="1"/>
  <c r="T36" i="1" s="1"/>
  <c r="AL36" i="1" s="1"/>
  <c r="AK36" i="1" s="1"/>
  <c r="N58" i="1"/>
  <c r="Q58" i="1" s="1"/>
  <c r="T58" i="1" s="1"/>
  <c r="AL58" i="1" s="1"/>
  <c r="AK58" i="1" s="1"/>
  <c r="N103" i="1"/>
  <c r="Q103" i="1" s="1"/>
  <c r="T103" i="1" s="1"/>
  <c r="AL103" i="1" s="1"/>
  <c r="AK103" i="1" s="1"/>
  <c r="T9" i="1"/>
  <c r="AL9" i="1" s="1"/>
  <c r="AK9" i="1" s="1"/>
  <c r="T71" i="1"/>
  <c r="AL71" i="1" s="1"/>
  <c r="AK71" i="1" s="1"/>
  <c r="T83" i="1"/>
  <c r="AL83" i="1" s="1"/>
  <c r="AK83" i="1" s="1"/>
  <c r="T118" i="1"/>
  <c r="AL118" i="1" s="1"/>
  <c r="AK118" i="1" s="1"/>
  <c r="T119" i="1"/>
  <c r="AL119" i="1" s="1"/>
  <c r="AK119" i="1" s="1"/>
  <c r="T10" i="1"/>
  <c r="AL10" i="1" s="1"/>
  <c r="AK10" i="1" s="1"/>
  <c r="T12" i="1"/>
  <c r="AL12" i="1" s="1"/>
  <c r="AK12" i="1" s="1"/>
  <c r="T45" i="1"/>
  <c r="AL45" i="1" s="1"/>
  <c r="AK45" i="1" s="1"/>
  <c r="T22" i="1"/>
  <c r="AL22" i="1" s="1"/>
  <c r="AK22" i="1" s="1"/>
  <c r="T46" i="1"/>
  <c r="AL46" i="1" s="1"/>
  <c r="AK46" i="1" s="1"/>
  <c r="T24" i="1"/>
  <c r="AL24" i="1" s="1"/>
  <c r="AK24" i="1" s="1"/>
  <c r="T48" i="1"/>
  <c r="AL48" i="1" s="1"/>
  <c r="AK48" i="1" s="1"/>
  <c r="T57" i="1"/>
  <c r="AL57" i="1" s="1"/>
  <c r="AK57" i="1" s="1"/>
  <c r="T60" i="1"/>
  <c r="AL60" i="1" s="1"/>
  <c r="AK60" i="1" s="1"/>
  <c r="T81" i="1"/>
  <c r="AL81" i="1" s="1"/>
  <c r="AK81" i="1" s="1"/>
  <c r="AI1" i="1"/>
  <c r="Q70" i="1"/>
  <c r="T70" i="1" s="1"/>
  <c r="AL70" i="1" s="1"/>
  <c r="AK70" i="1" s="1"/>
  <c r="T52" i="1"/>
  <c r="AL52" i="1" s="1"/>
  <c r="AK52" i="1" s="1"/>
  <c r="Q34" i="1"/>
  <c r="T34" i="1" s="1"/>
  <c r="AL34" i="1" s="1"/>
  <c r="AK34" i="1" s="1"/>
  <c r="N80" i="1"/>
  <c r="Q80" i="1" s="1"/>
  <c r="K44" i="2"/>
  <c r="K48" i="2" s="1"/>
  <c r="K16" i="2"/>
  <c r="K20" i="2" s="1"/>
  <c r="K40" i="2"/>
  <c r="K12" i="2"/>
  <c r="L1" i="1"/>
  <c r="D7" i="11" s="1"/>
  <c r="Q61" i="1"/>
  <c r="T61" i="1" s="1"/>
  <c r="AL61" i="1" s="1"/>
  <c r="AK61" i="1" s="1"/>
  <c r="Q1" i="1" l="1"/>
  <c r="T80" i="1"/>
  <c r="N1" i="1"/>
  <c r="D9" i="11" s="1"/>
  <c r="T1" i="1" l="1"/>
  <c r="D17" i="11" s="1"/>
  <c r="AL80" i="1"/>
  <c r="AK80" i="1" s="1"/>
  <c r="AK1" i="1" l="1"/>
  <c r="AL1" i="1"/>
</calcChain>
</file>

<file path=xl/sharedStrings.xml><?xml version="1.0" encoding="utf-8"?>
<sst xmlns="http://schemas.openxmlformats.org/spreadsheetml/2006/main" count="954" uniqueCount="487">
  <si>
    <t>MEDIDOR</t>
  </si>
  <si>
    <t>DIRECCION</t>
  </si>
  <si>
    <t>USUARIO</t>
  </si>
  <si>
    <t>DEUDA ACUMULADA</t>
  </si>
  <si>
    <t>MES DE SERVICIO</t>
  </si>
  <si>
    <t>COAGUASIM</t>
  </si>
  <si>
    <t>TOTAL A PAGAR MES</t>
  </si>
  <si>
    <t xml:space="preserve">ABONO A LA DEUDA </t>
  </si>
  <si>
    <t xml:space="preserve">TOTAL RECIBIDO </t>
  </si>
  <si>
    <t>USUARIO:</t>
  </si>
  <si>
    <t>MEDIDOR:</t>
  </si>
  <si>
    <t xml:space="preserve">FACTURACION DIAN:  </t>
  </si>
  <si>
    <t>MES DE SERVICIO:</t>
  </si>
  <si>
    <t>TOTAL A PAGAR MES:</t>
  </si>
  <si>
    <t>ABONO A LA DEUDA:</t>
  </si>
  <si>
    <t>FACTURA No:</t>
  </si>
  <si>
    <t>SUBSIDIO</t>
  </si>
  <si>
    <t>SUBSIDIO:</t>
  </si>
  <si>
    <t>a</t>
  </si>
  <si>
    <t>CONSUMO MES. MC</t>
  </si>
  <si>
    <t>CONSUMO MES (MC)</t>
  </si>
  <si>
    <t>DIRECCIÓN</t>
  </si>
  <si>
    <t>VALOR M.CÚBICO:</t>
  </si>
  <si>
    <t>VALOR M. CÚB</t>
  </si>
  <si>
    <t>VALOR CONSUMO MES</t>
  </si>
  <si>
    <t>FIRMA COBRADOR</t>
  </si>
  <si>
    <t>PEGAR USUARIO A FACTURAR</t>
  </si>
  <si>
    <t>#</t>
  </si>
  <si>
    <t>No. FACTURA</t>
  </si>
  <si>
    <t>DEUDA ACU.</t>
  </si>
  <si>
    <t>DOCUMENTO</t>
  </si>
  <si>
    <t>Natalia Mestra Castaño</t>
  </si>
  <si>
    <t>Jorge Leonardo Vanegas Arrieta</t>
  </si>
  <si>
    <t>Alba Lucila Rojas Morales</t>
  </si>
  <si>
    <t>Joiner Vega Padilla</t>
  </si>
  <si>
    <t>Israel Emiro Ursola Ramos</t>
  </si>
  <si>
    <t>Erika González Solera</t>
  </si>
  <si>
    <t>Dalcirys Vega Padilla</t>
  </si>
  <si>
    <t>Jaider Manuel Diaz Rojas</t>
  </si>
  <si>
    <t>Lendis Saray Anaya Rojas</t>
  </si>
  <si>
    <t>Liseth Beberlys Bernal Maestra</t>
  </si>
  <si>
    <t>Anderson M. Mestra Castaño</t>
  </si>
  <si>
    <t>Rosibel Beltrán</t>
  </si>
  <si>
    <t>Aylin Mestra Castaño</t>
  </si>
  <si>
    <t>Yandris Oliveros López</t>
  </si>
  <si>
    <t>Geiner Pereira Sierra</t>
  </si>
  <si>
    <t>Luis Miguel Padilla</t>
  </si>
  <si>
    <t>Horacio Martínez Matos</t>
  </si>
  <si>
    <t>Yeimis Paola Bedoya Baldovino</t>
  </si>
  <si>
    <t>Rosalía Ramos Gómez</t>
  </si>
  <si>
    <t>Sonia Abadía Rojas</t>
  </si>
  <si>
    <t>Luz Mery González</t>
  </si>
  <si>
    <t>July Andrea Solera Ramos</t>
  </si>
  <si>
    <t>Norelis Rangel</t>
  </si>
  <si>
    <t>Eduver Alfonso Padilla Sánchez</t>
  </si>
  <si>
    <t>José Benito Mestra Rojas</t>
  </si>
  <si>
    <t>Jorge Luis Mejía Aldana</t>
  </si>
  <si>
    <t>Luz Dary Ruiz Mancera</t>
  </si>
  <si>
    <t>Sandra Patricia González Solera</t>
  </si>
  <si>
    <t>Irudis E. Carvallido Noguera</t>
  </si>
  <si>
    <t>María Girlesa Jaramillo Cardona</t>
  </si>
  <si>
    <t>Wilman Antonio Solera Ramos</t>
  </si>
  <si>
    <t>Rogelia Ramos</t>
  </si>
  <si>
    <t>Benjamín Carvallido Lobo</t>
  </si>
  <si>
    <t>Rosa Idalides Solera Padilla</t>
  </si>
  <si>
    <t>María Geney Narváez</t>
  </si>
  <si>
    <t>Levis Alarcón</t>
  </si>
  <si>
    <t>Seberiano Mejía</t>
  </si>
  <si>
    <t>Mayeli Morales Niño</t>
  </si>
  <si>
    <t>Yoleida Esther Solera Ramos</t>
  </si>
  <si>
    <t>Nélida González</t>
  </si>
  <si>
    <t>Nilson Carballido</t>
  </si>
  <si>
    <t>Dairo E. Carballido Noguera</t>
  </si>
  <si>
    <t>Ariel Anaya Padilla</t>
  </si>
  <si>
    <t>Edgar Rojas</t>
  </si>
  <si>
    <t>José Adonai Rojas Rodríguez</t>
  </si>
  <si>
    <t>Aideth Rosario Solera Ramos</t>
  </si>
  <si>
    <t>Nixon Carvallido Lobo</t>
  </si>
  <si>
    <t>Elena María Carvallido Noguera</t>
  </si>
  <si>
    <t>Alberto Julio Carballido lobo</t>
  </si>
  <si>
    <t>Francisco de Padua Anaya</t>
  </si>
  <si>
    <t>Osmeider Carballido Noguera</t>
  </si>
  <si>
    <t>Glerys Astrith Mestra Rojas</t>
  </si>
  <si>
    <t>Sonia Milena Padilla Delgado</t>
  </si>
  <si>
    <t>Elia Mercedes Rojas Morales</t>
  </si>
  <si>
    <t>Dilia Ester Gómez Sierra</t>
  </si>
  <si>
    <t>Anastasia I. Delgado Velásquez</t>
  </si>
  <si>
    <t>Néstor Alfonso Rojas Ramírez</t>
  </si>
  <si>
    <t>Yadiris López Carvallido</t>
  </si>
  <si>
    <t>José Graciano López Mora</t>
  </si>
  <si>
    <t>Johan Sebastián Solera Abadía</t>
  </si>
  <si>
    <t>Ninfa Luz Hernández Sánchez</t>
  </si>
  <si>
    <t>Carlos Adolfo López Carvallido</t>
  </si>
  <si>
    <t>Yuranis Sedano Paternina</t>
  </si>
  <si>
    <t>Nuris Padilla</t>
  </si>
  <si>
    <t>Ana Carmela Padilla</t>
  </si>
  <si>
    <t>Almayda Rojas</t>
  </si>
  <si>
    <t>Yamile Solera</t>
  </si>
  <si>
    <t>Yadiris Morales</t>
  </si>
  <si>
    <t>Yamile Núñez</t>
  </si>
  <si>
    <t>Manuel Palencia</t>
  </si>
  <si>
    <t>Hida Olga Solera P. (Casa past)</t>
  </si>
  <si>
    <t>Jhineth Cárdenas Mestra</t>
  </si>
  <si>
    <t>Argemiro Padilla Vera</t>
  </si>
  <si>
    <t>Mariela Noguera Pacheco</t>
  </si>
  <si>
    <t>Ledis Solera Castaño(casa)</t>
  </si>
  <si>
    <t>LECTURA ANTER</t>
  </si>
  <si>
    <t>LECTURA ACTUAL</t>
  </si>
  <si>
    <t>LECTURA ANTERIOR</t>
  </si>
  <si>
    <t>T. RECIBIDO:</t>
  </si>
  <si>
    <t>VALOR CONSUMO MES:</t>
  </si>
  <si>
    <t>FEBRERO</t>
  </si>
  <si>
    <t>MARZO</t>
  </si>
  <si>
    <t>ABRIL</t>
  </si>
  <si>
    <t>HISTORIAL DE CONSUMO ($$)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</si>
  <si>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</si>
  <si>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</si>
  <si>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</si>
  <si>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</si>
  <si>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</si>
  <si>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</si>
  <si>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</si>
  <si>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</si>
  <si>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</si>
  <si>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Cuidemos lo nuestro. Paga a tiempo tu factura. Evita el pago por reconexión</t>
  </si>
  <si>
    <t>De:</t>
  </si>
  <si>
    <t>DOC. USUARIO:</t>
  </si>
  <si>
    <t>FECHA PAGO:</t>
  </si>
  <si>
    <t>FECHA FACTURACIÓN</t>
  </si>
  <si>
    <t>NUEVO SALDO</t>
  </si>
  <si>
    <t>Bertilda Bernal (Arriba)</t>
  </si>
  <si>
    <t>JAC-Pueso de salud</t>
  </si>
  <si>
    <t>Jose cárdenas</t>
  </si>
  <si>
    <t>Norbelia Mestra</t>
  </si>
  <si>
    <t>Adelaida Solera P. (Abajo)</t>
  </si>
  <si>
    <t>Yarlenys Palencia</t>
  </si>
  <si>
    <t>Bertilda Bernal (Abajo)</t>
  </si>
  <si>
    <t>Escuela</t>
  </si>
  <si>
    <t>Yeinis Padilla Solera (Abajo)</t>
  </si>
  <si>
    <t>Edelberto  Gómez (casa arriba)</t>
  </si>
  <si>
    <t>Einer padilla</t>
  </si>
  <si>
    <t>Jorge Palencia</t>
  </si>
  <si>
    <t>Jaime Palencia</t>
  </si>
  <si>
    <t>Sor Mery Jimenez</t>
  </si>
  <si>
    <t>Anibal Franco</t>
  </si>
  <si>
    <t>Adelaida Solera P. (Arriba)</t>
  </si>
  <si>
    <t>Molino arrocero</t>
  </si>
  <si>
    <t>Kellys Vega</t>
  </si>
  <si>
    <t>Miguelina Perea</t>
  </si>
  <si>
    <t>Argelino Mestra</t>
  </si>
  <si>
    <t>Ezequiel mejía</t>
  </si>
  <si>
    <t>Luis Diego Ramos Rojas</t>
  </si>
  <si>
    <t>Norbelia Mestra (2)</t>
  </si>
  <si>
    <t>Luís Humberto Solera Padilla</t>
  </si>
  <si>
    <t>JAC-Casa comunal</t>
  </si>
  <si>
    <t>Natalia mestra (Finca)</t>
  </si>
  <si>
    <t>Génesis (Restaurante)</t>
  </si>
  <si>
    <t>366690</t>
  </si>
  <si>
    <t>366670</t>
  </si>
  <si>
    <t>220106658</t>
  </si>
  <si>
    <t>220106659</t>
  </si>
  <si>
    <t>366680</t>
  </si>
  <si>
    <t>366679</t>
  </si>
  <si>
    <t>220106657</t>
  </si>
  <si>
    <t>366779</t>
  </si>
  <si>
    <t>366781</t>
  </si>
  <si>
    <t>366710</t>
  </si>
  <si>
    <t>366776</t>
  </si>
  <si>
    <t>366768</t>
  </si>
  <si>
    <t>366722</t>
  </si>
  <si>
    <t>366766</t>
  </si>
  <si>
    <t>366723</t>
  </si>
  <si>
    <t>366771</t>
  </si>
  <si>
    <t>366780</t>
  </si>
  <si>
    <t>366714</t>
  </si>
  <si>
    <t>366689</t>
  </si>
  <si>
    <t>366715</t>
  </si>
  <si>
    <t>366691</t>
  </si>
  <si>
    <t>366721</t>
  </si>
  <si>
    <t>366685</t>
  </si>
  <si>
    <t>366687</t>
  </si>
  <si>
    <t>366716</t>
  </si>
  <si>
    <t>366720</t>
  </si>
  <si>
    <t>366686</t>
  </si>
  <si>
    <t>366713</t>
  </si>
  <si>
    <t>366682</t>
  </si>
  <si>
    <t>366778</t>
  </si>
  <si>
    <t>366774</t>
  </si>
  <si>
    <t>366763</t>
  </si>
  <si>
    <t>366764</t>
  </si>
  <si>
    <t>366762</t>
  </si>
  <si>
    <t>366770</t>
  </si>
  <si>
    <t>366765</t>
  </si>
  <si>
    <t>366767</t>
  </si>
  <si>
    <t>366777</t>
  </si>
  <si>
    <t>366667</t>
  </si>
  <si>
    <t>366662</t>
  </si>
  <si>
    <t>366663</t>
  </si>
  <si>
    <t>366666</t>
  </si>
  <si>
    <t>366664</t>
  </si>
  <si>
    <t>366733</t>
  </si>
  <si>
    <t>366719</t>
  </si>
  <si>
    <t>366736</t>
  </si>
  <si>
    <t>366669</t>
  </si>
  <si>
    <t>366759</t>
  </si>
  <si>
    <t>366758</t>
  </si>
  <si>
    <t>366740</t>
  </si>
  <si>
    <t>366717</t>
  </si>
  <si>
    <t>366756</t>
  </si>
  <si>
    <t>365179</t>
  </si>
  <si>
    <t>366757</t>
  </si>
  <si>
    <t>Amelia R. Rodríguez Gamarra</t>
  </si>
  <si>
    <t>365171</t>
  </si>
  <si>
    <t>366755</t>
  </si>
  <si>
    <t>366697</t>
  </si>
  <si>
    <t>365172</t>
  </si>
  <si>
    <t>366671</t>
  </si>
  <si>
    <t>366753</t>
  </si>
  <si>
    <t>366752</t>
  </si>
  <si>
    <t>366744</t>
  </si>
  <si>
    <t>366750</t>
  </si>
  <si>
    <t>366684</t>
  </si>
  <si>
    <t>366718</t>
  </si>
  <si>
    <t>366737</t>
  </si>
  <si>
    <t>366735</t>
  </si>
  <si>
    <t>366743</t>
  </si>
  <si>
    <t>366742</t>
  </si>
  <si>
    <t>366688</t>
  </si>
  <si>
    <t>366712</t>
  </si>
  <si>
    <t>366692</t>
  </si>
  <si>
    <t>366698</t>
  </si>
  <si>
    <t>366695</t>
  </si>
  <si>
    <t>366696</t>
  </si>
  <si>
    <t>366694</t>
  </si>
  <si>
    <t>366700</t>
  </si>
  <si>
    <t>366672</t>
  </si>
  <si>
    <t>366678</t>
  </si>
  <si>
    <t>366699</t>
  </si>
  <si>
    <t>366674</t>
  </si>
  <si>
    <t>366693</t>
  </si>
  <si>
    <t>366701</t>
  </si>
  <si>
    <t>366746</t>
  </si>
  <si>
    <t>366748</t>
  </si>
  <si>
    <t>Israel E. Ursola Villegas</t>
  </si>
  <si>
    <t>366738</t>
  </si>
  <si>
    <t>Yolanda Isabel Ramos Gómez 1</t>
  </si>
  <si>
    <t>Yolanda Isabel Ramos Gómez 2</t>
  </si>
  <si>
    <t>366741</t>
  </si>
  <si>
    <t>366775</t>
  </si>
  <si>
    <t>Sergio Mestra Sierra</t>
  </si>
  <si>
    <t>366773</t>
  </si>
  <si>
    <t>366739</t>
  </si>
  <si>
    <t>karen Padilla Ramos</t>
  </si>
  <si>
    <t>366751</t>
  </si>
  <si>
    <t>220106654</t>
  </si>
  <si>
    <t>M211385</t>
  </si>
  <si>
    <t>M211383</t>
  </si>
  <si>
    <t>Noris Mestra Padilla</t>
  </si>
  <si>
    <t>220106656</t>
  </si>
  <si>
    <t>366668</t>
  </si>
  <si>
    <t xml:space="preserve">Carmen Julia Ramos </t>
  </si>
  <si>
    <t>366681</t>
  </si>
  <si>
    <t>366677</t>
  </si>
  <si>
    <t>366772</t>
  </si>
  <si>
    <t>366673</t>
  </si>
  <si>
    <t>366676</t>
  </si>
  <si>
    <t>Dairo E. Carballido Noguera (abajo)</t>
  </si>
  <si>
    <t>Elierney de la Cruz Gonzalez</t>
  </si>
  <si>
    <t>366732</t>
  </si>
  <si>
    <t>Mariela Noguera Pacheco (2)</t>
  </si>
  <si>
    <t>366683</t>
  </si>
  <si>
    <t>220106651</t>
  </si>
  <si>
    <t>366734</t>
  </si>
  <si>
    <t>366754</t>
  </si>
  <si>
    <t>366747</t>
  </si>
  <si>
    <t>366745</t>
  </si>
  <si>
    <t>Ledis Solera Castaño(Negocio)</t>
  </si>
  <si>
    <t>366675</t>
  </si>
  <si>
    <t>M231383</t>
  </si>
  <si>
    <t>No.</t>
  </si>
  <si>
    <t>NOMBRE</t>
  </si>
  <si>
    <t>CEDULA</t>
  </si>
  <si>
    <t>Carmen Julia Ramos (casa abajo)</t>
  </si>
  <si>
    <t>Dairo E. Carballido Noguera (Arriba)</t>
  </si>
  <si>
    <t>JAC-Salón comunal</t>
  </si>
  <si>
    <t>Yoleida E. Solera Ramos</t>
  </si>
  <si>
    <t>Elena M. Carvallido N.</t>
  </si>
  <si>
    <t>Luís Humberto Solera P.</t>
  </si>
  <si>
    <t>Alberto J. Carballido L.</t>
  </si>
  <si>
    <t>Osmeider Carballido N.</t>
  </si>
  <si>
    <t>Mariela Noguera P. (2)</t>
  </si>
  <si>
    <t>Ledis Solera C.(Negocio)</t>
  </si>
  <si>
    <t>José Adonai Rojas R.</t>
  </si>
  <si>
    <t>Aideth R. Solera Ramos</t>
  </si>
  <si>
    <t>María Geney N.</t>
  </si>
  <si>
    <t>Benjamín Carvallido L.</t>
  </si>
  <si>
    <t>Anastasia I. Delgado V.</t>
  </si>
  <si>
    <t>Néstor Alfonso Rojas R.</t>
  </si>
  <si>
    <t>Alba Lucila Rojas M.</t>
  </si>
  <si>
    <t>Dilia Ester Gómez S.</t>
  </si>
  <si>
    <t>C. Julia Ramos (abajo)</t>
  </si>
  <si>
    <t>Glerys A. Mestra R.</t>
  </si>
  <si>
    <t>Elia Mercedes Rojas M.</t>
  </si>
  <si>
    <t>Sonia Milena Padilla D.</t>
  </si>
  <si>
    <t>Hida O. Solera P.(Casa past)</t>
  </si>
  <si>
    <t>Lendis Saray Anaya R.</t>
  </si>
  <si>
    <t>Jaider Manuel Diaz R.</t>
  </si>
  <si>
    <t>Liseth B. Bernal M.</t>
  </si>
  <si>
    <t>Anderson M. Mestra C.</t>
  </si>
  <si>
    <t>Jorge L. Vanegas A.</t>
  </si>
  <si>
    <t>Yeinis Padilla S. (Abajo)</t>
  </si>
  <si>
    <t>Yuranis Sedano P.</t>
  </si>
  <si>
    <t>Carlos Adolfo López C.</t>
  </si>
  <si>
    <t>Ninfa Luz Hernández S.</t>
  </si>
  <si>
    <t>Johan Sebastián Solera A.</t>
  </si>
  <si>
    <t>Elierney de la Cruz G.</t>
  </si>
  <si>
    <t>Israel Emiro Ursola R.</t>
  </si>
  <si>
    <t>Israel E. Ursola V.</t>
  </si>
  <si>
    <t>Yolanda I. Ramos G. 1</t>
  </si>
  <si>
    <t>Eduver A. Padilla S.</t>
  </si>
  <si>
    <t>José Benito Mestra R.</t>
  </si>
  <si>
    <t>M. Girlesa Jaramillo C.</t>
  </si>
  <si>
    <t>Irudis E. Carvallido N.</t>
  </si>
  <si>
    <t>Amelia R. Rodríguez G.</t>
  </si>
  <si>
    <t>Rosa Idalides Solera P.</t>
  </si>
  <si>
    <t>Yeimis P. Bedoya B.</t>
  </si>
  <si>
    <t>Wilman A. Solera R.</t>
  </si>
  <si>
    <t>Francisco de Padua A.</t>
  </si>
  <si>
    <t>Mariela Noguera P.</t>
  </si>
  <si>
    <t>INFORME</t>
  </si>
  <si>
    <t>Total ususarios</t>
  </si>
  <si>
    <t>Valor consumo del mes</t>
  </si>
  <si>
    <t>Valor consumo del mes (deducido)</t>
  </si>
  <si>
    <t>Total recibido en el mes</t>
  </si>
  <si>
    <t>Abono a la deuda</t>
  </si>
  <si>
    <t>TOTALES:</t>
  </si>
  <si>
    <t>ASEO</t>
  </si>
  <si>
    <t>Nuevo saldo de usuarios</t>
  </si>
  <si>
    <t>Saldo anterior</t>
  </si>
  <si>
    <t>Consumo del  mes en metros cúbicos</t>
  </si>
  <si>
    <t>ASEO:</t>
  </si>
  <si>
    <t>FECHA FACTURACIÓN:</t>
  </si>
  <si>
    <t>Dairo E. Carballido</t>
  </si>
  <si>
    <t>Bertilda Bernal (abajo)2</t>
  </si>
  <si>
    <t>Bertilda Bernal (Abajo)1</t>
  </si>
  <si>
    <t>Cll.3 No. 0-10</t>
  </si>
  <si>
    <r>
      <rPr>
        <b/>
        <i/>
        <sz val="10"/>
        <color rgb="FF141400"/>
        <rFont val="Calibri"/>
        <family val="2"/>
        <scheme val="minor"/>
      </rPr>
      <t>EMPRESA DE SERVICIOS PÚBLICOS</t>
    </r>
    <r>
      <rPr>
        <b/>
        <i/>
        <sz val="8"/>
        <color rgb="FF141400"/>
        <rFont val="Calibri"/>
        <family val="2"/>
        <scheme val="minor"/>
      </rPr>
      <t xml:space="preserve"> </t>
    </r>
    <r>
      <rPr>
        <b/>
        <i/>
        <sz val="16"/>
        <color rgb="FF002060"/>
        <rFont val="Calibri"/>
        <family val="2"/>
        <scheme val="minor"/>
      </rPr>
      <t>AAA</t>
    </r>
    <r>
      <rPr>
        <b/>
        <i/>
        <sz val="8"/>
        <color rgb="FF141400"/>
        <rFont val="Calibri"/>
        <family val="2"/>
        <scheme val="minor"/>
      </rPr>
      <t xml:space="preserve">   </t>
    </r>
    <r>
      <rPr>
        <b/>
        <i/>
        <sz val="18"/>
        <color rgb="FF141400"/>
        <rFont val="Calibri"/>
        <family val="2"/>
        <scheme val="minor"/>
      </rPr>
      <t>CORPOSINAÍ</t>
    </r>
  </si>
  <si>
    <t>DE</t>
  </si>
  <si>
    <t>Yeimis P. Bedoya B.2</t>
  </si>
  <si>
    <t>Orlando Gómez Solera</t>
  </si>
  <si>
    <t xml:space="preserve">   </t>
  </si>
  <si>
    <t>TOTAL ANUAL</t>
  </si>
  <si>
    <t>Usuarios que pagaron recibo</t>
  </si>
  <si>
    <t xml:space="preserve">Usuarios que abonaron a la deuda </t>
  </si>
  <si>
    <t>PAGADO</t>
  </si>
  <si>
    <t>HISTORIAL FACTURADO ANUAL ($$)</t>
  </si>
  <si>
    <t>DEUDA AÑO ANTERIOR</t>
  </si>
  <si>
    <t>DEUDA TOTAL</t>
  </si>
  <si>
    <t>T. PAGADO:</t>
  </si>
  <si>
    <t>INFORME ANUAL</t>
  </si>
  <si>
    <t>SALDO</t>
  </si>
  <si>
    <t>Emiro A. Solera Ramos</t>
  </si>
  <si>
    <t>Galpón - Buen Pollo</t>
  </si>
  <si>
    <t>Deisy Cuentas</t>
  </si>
  <si>
    <t>Libardo Solera Ramos</t>
  </si>
  <si>
    <t>Mario Solera Ramos</t>
  </si>
  <si>
    <t>Josue Padilla</t>
  </si>
  <si>
    <t>Vanesa Sierra</t>
  </si>
  <si>
    <r>
      <rPr>
        <b/>
        <i/>
        <sz val="9"/>
        <color rgb="FFFF0000"/>
        <rFont val="Calibri"/>
        <family val="2"/>
        <scheme val="minor"/>
      </rPr>
      <t>Paga a tiempo tu factura y no te expongas al cobro por reconexión.</t>
    </r>
    <r>
      <rPr>
        <b/>
        <sz val="10"/>
        <color rgb="FFFF0000"/>
        <rFont val="Calibri"/>
        <family val="2"/>
        <scheme val="minor"/>
      </rPr>
      <t xml:space="preserve">                                                                            </t>
    </r>
    <r>
      <rPr>
        <b/>
        <sz val="11"/>
        <color rgb="FFFF0000"/>
        <rFont val="Calibri"/>
        <family val="2"/>
        <scheme val="minor"/>
      </rPr>
      <t>Fecha de corte: 20 de agosto del 2025.</t>
    </r>
  </si>
  <si>
    <t>Edelberto  Gómez (Palacio)</t>
  </si>
  <si>
    <t>0001721</t>
  </si>
  <si>
    <t>0001722</t>
  </si>
  <si>
    <t>0001723</t>
  </si>
  <si>
    <t>0001724</t>
  </si>
  <si>
    <t>0001725</t>
  </si>
  <si>
    <t>0001726</t>
  </si>
  <si>
    <t>0001727</t>
  </si>
  <si>
    <t>0001728</t>
  </si>
  <si>
    <t>0001729</t>
  </si>
  <si>
    <t>0001730</t>
  </si>
  <si>
    <t>0001731</t>
  </si>
  <si>
    <t>0001732</t>
  </si>
  <si>
    <t>0001733</t>
  </si>
  <si>
    <t>0001734</t>
  </si>
  <si>
    <t>0001735</t>
  </si>
  <si>
    <t>0001736</t>
  </si>
  <si>
    <t>0001737</t>
  </si>
  <si>
    <t>0001738</t>
  </si>
  <si>
    <t>0001739</t>
  </si>
  <si>
    <t>0001740</t>
  </si>
  <si>
    <t>0001741</t>
  </si>
  <si>
    <t>0001742</t>
  </si>
  <si>
    <t>0001743</t>
  </si>
  <si>
    <t>0001744</t>
  </si>
  <si>
    <t>0001745</t>
  </si>
  <si>
    <t>0001746</t>
  </si>
  <si>
    <t>0001747</t>
  </si>
  <si>
    <t>0001748</t>
  </si>
  <si>
    <t>0001749</t>
  </si>
  <si>
    <t>0001750</t>
  </si>
  <si>
    <t>0001751</t>
  </si>
  <si>
    <t>0001752</t>
  </si>
  <si>
    <t>0001753</t>
  </si>
  <si>
    <t>0001754</t>
  </si>
  <si>
    <t>0001755</t>
  </si>
  <si>
    <t>0001756</t>
  </si>
  <si>
    <t>0001757</t>
  </si>
  <si>
    <t>0001758</t>
  </si>
  <si>
    <t>0001759</t>
  </si>
  <si>
    <t>0001760</t>
  </si>
  <si>
    <t>0001761</t>
  </si>
  <si>
    <t>0001762</t>
  </si>
  <si>
    <t>0001763</t>
  </si>
  <si>
    <t>0001764</t>
  </si>
  <si>
    <t>0001765</t>
  </si>
  <si>
    <t>0001766</t>
  </si>
  <si>
    <t>0001767</t>
  </si>
  <si>
    <t>0001768</t>
  </si>
  <si>
    <t>0001769</t>
  </si>
  <si>
    <t>0001770</t>
  </si>
  <si>
    <t>0001771</t>
  </si>
  <si>
    <t>0001772</t>
  </si>
  <si>
    <t>0001773</t>
  </si>
  <si>
    <t>0001774</t>
  </si>
  <si>
    <t>0001775</t>
  </si>
  <si>
    <t>0001776</t>
  </si>
  <si>
    <t>0001777</t>
  </si>
  <si>
    <t>0001778</t>
  </si>
  <si>
    <t>0001779</t>
  </si>
  <si>
    <t>0001780</t>
  </si>
  <si>
    <t>0001781</t>
  </si>
  <si>
    <t>0001782</t>
  </si>
  <si>
    <t>0001783</t>
  </si>
  <si>
    <t>0001784</t>
  </si>
  <si>
    <t>0001785</t>
  </si>
  <si>
    <t>0001786</t>
  </si>
  <si>
    <t>0001787</t>
  </si>
  <si>
    <t>0001788</t>
  </si>
  <si>
    <t>0001789</t>
  </si>
  <si>
    <t>0001790</t>
  </si>
  <si>
    <t>0001791</t>
  </si>
  <si>
    <t>0001792</t>
  </si>
  <si>
    <t>0001793</t>
  </si>
  <si>
    <t>0001794</t>
  </si>
  <si>
    <t>0001795</t>
  </si>
  <si>
    <t>0001796</t>
  </si>
  <si>
    <t>0001797</t>
  </si>
  <si>
    <t>0001798</t>
  </si>
  <si>
    <t>0001799</t>
  </si>
  <si>
    <t>0001800</t>
  </si>
  <si>
    <t>0001801</t>
  </si>
  <si>
    <t>0001802</t>
  </si>
  <si>
    <t>0001803</t>
  </si>
  <si>
    <t>0001804</t>
  </si>
  <si>
    <t>0001805</t>
  </si>
  <si>
    <t>0001806</t>
  </si>
  <si>
    <t>0001807</t>
  </si>
  <si>
    <t>0001808</t>
  </si>
  <si>
    <t>0001809</t>
  </si>
  <si>
    <t>0001810</t>
  </si>
  <si>
    <t>0001811</t>
  </si>
  <si>
    <t>0001812</t>
  </si>
  <si>
    <t>0001813</t>
  </si>
  <si>
    <t>0001814</t>
  </si>
  <si>
    <t>0001815</t>
  </si>
  <si>
    <t>0001816</t>
  </si>
  <si>
    <t>0001817</t>
  </si>
  <si>
    <t>0001818</t>
  </si>
  <si>
    <t>0001819</t>
  </si>
  <si>
    <t>0001820</t>
  </si>
  <si>
    <t>0001821</t>
  </si>
  <si>
    <t>0001822</t>
  </si>
  <si>
    <t>0001823</t>
  </si>
  <si>
    <t>0001824</t>
  </si>
  <si>
    <t>0001825</t>
  </si>
  <si>
    <t>0001826</t>
  </si>
  <si>
    <t>0001827</t>
  </si>
  <si>
    <t>0001828</t>
  </si>
  <si>
    <t>0001829</t>
  </si>
  <si>
    <t>0001830</t>
  </si>
  <si>
    <t>0001831</t>
  </si>
  <si>
    <t>0001832</t>
  </si>
  <si>
    <t>Carlos Esteban Murillo</t>
  </si>
  <si>
    <t>0001833</t>
  </si>
  <si>
    <t>En la proxima facturacion, comenzar con el 0001834</t>
  </si>
  <si>
    <t>CÓDIGO USUARIO</t>
  </si>
  <si>
    <t>CÓDOGO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</si>
</sst>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\ #,##0;\-&quot;$&quot;\ #,##0"/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&quot;$&quot;\ #,##0"/>
    <numFmt numFmtId="165" formatCode="&quot;$&quot;\ #,##0.000"/>
  </numFmts>
  <fonts count="43" x14ac:knownFonts="1">
    <font>
      <sz val="11"/>
      <color theme="1"/>
      <name val="Calibri"/>
      <family val="2"/>
      <scheme val="minor"/>
    </font>
    <font>
      <b/>
      <i/>
      <sz val="16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C00000"/>
      <name val="Script MT Bold"/>
      <family val="4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141400"/>
      <name val="Calibri"/>
      <family val="2"/>
      <scheme val="minor"/>
    </font>
    <font>
      <b/>
      <i/>
      <sz val="8"/>
      <color rgb="FF141400"/>
      <name val="Calibri"/>
      <family val="2"/>
      <scheme val="minor"/>
    </font>
    <font>
      <b/>
      <i/>
      <sz val="10"/>
      <color rgb="FF141400"/>
      <name val="Calibri"/>
      <family val="2"/>
      <scheme val="minor"/>
    </font>
    <font>
      <b/>
      <i/>
      <sz val="18"/>
      <color rgb="FF141400"/>
      <name val="Calibri"/>
      <family val="2"/>
      <scheme val="minor"/>
    </font>
    <font>
      <b/>
      <sz val="8"/>
      <color rgb="FF141400"/>
      <name val="Calibri"/>
      <family val="2"/>
      <scheme val="minor"/>
    </font>
    <font>
      <sz val="10"/>
      <color rgb="FF141400"/>
      <name val="Calibri"/>
      <family val="2"/>
      <scheme val="minor"/>
    </font>
    <font>
      <b/>
      <sz val="10"/>
      <color rgb="FF141400"/>
      <name val="Calibri"/>
      <family val="2"/>
      <scheme val="minor"/>
    </font>
    <font>
      <b/>
      <sz val="9"/>
      <color rgb="FF141400"/>
      <name val="Calibri"/>
      <family val="2"/>
      <scheme val="minor"/>
    </font>
    <font>
      <b/>
      <sz val="10"/>
      <color rgb="FFFF0000"/>
      <name val="Script MT Bold"/>
      <family val="4"/>
    </font>
    <font>
      <b/>
      <sz val="10"/>
      <color rgb="FFFF0000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2"/>
      <name val="Arial Narrow"/>
      <family val="2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9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Dashed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261">
    <xf numFmtId="0" fontId="0" fillId="0" borderId="0" xfId="0"/>
    <xf numFmtId="0" fontId="0" fillId="0" borderId="0" xfId="0" applyFill="1"/>
    <xf numFmtId="0" fontId="0" fillId="0" borderId="6" xfId="0" applyBorder="1"/>
    <xf numFmtId="0" fontId="0" fillId="4" borderId="0" xfId="0" applyFill="1"/>
    <xf numFmtId="0" fontId="0" fillId="0" borderId="6" xfId="0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49" fontId="0" fillId="0" borderId="6" xfId="0" applyNumberFormat="1" applyBorder="1"/>
    <xf numFmtId="0" fontId="0" fillId="7" borderId="6" xfId="0" applyFill="1" applyBorder="1" applyAlignment="1">
      <alignment horizontal="center"/>
    </xf>
    <xf numFmtId="0" fontId="12" fillId="8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10" fillId="6" borderId="6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3" fillId="4" borderId="0" xfId="0" applyFont="1" applyFill="1" applyBorder="1"/>
    <xf numFmtId="0" fontId="0" fillId="4" borderId="0" xfId="0" applyFill="1" applyBorder="1"/>
    <xf numFmtId="0" fontId="16" fillId="5" borderId="6" xfId="0" applyFont="1" applyFill="1" applyBorder="1" applyAlignment="1">
      <alignment horizontal="center"/>
    </xf>
    <xf numFmtId="164" fontId="0" fillId="0" borderId="6" xfId="0" applyNumberFormat="1" applyBorder="1"/>
    <xf numFmtId="164" fontId="0" fillId="0" borderId="0" xfId="0" applyNumberFormat="1"/>
    <xf numFmtId="164" fontId="0" fillId="7" borderId="6" xfId="0" applyNumberFormat="1" applyFill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3" fillId="0" borderId="0" xfId="0" applyFont="1" applyFill="1"/>
    <xf numFmtId="0" fontId="4" fillId="5" borderId="6" xfId="0" applyFont="1" applyFill="1" applyBorder="1" applyAlignment="1">
      <alignment horizontal="left"/>
    </xf>
    <xf numFmtId="42" fontId="0" fillId="4" borderId="0" xfId="1" applyNumberFormat="1" applyFont="1" applyFill="1" applyBorder="1"/>
    <xf numFmtId="49" fontId="0" fillId="4" borderId="0" xfId="0" applyNumberFormat="1" applyFill="1" applyBorder="1"/>
    <xf numFmtId="14" fontId="0" fillId="4" borderId="0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4" borderId="0" xfId="0" applyNumberFormat="1" applyFill="1" applyBorder="1"/>
    <xf numFmtId="164" fontId="0" fillId="4" borderId="0" xfId="0" applyNumberFormat="1" applyFill="1" applyBorder="1" applyAlignment="1">
      <alignment horizontal="center"/>
    </xf>
    <xf numFmtId="0" fontId="9" fillId="0" borderId="6" xfId="0" applyFont="1" applyFill="1" applyBorder="1" applyAlignment="1">
      <alignment vertical="center"/>
    </xf>
    <xf numFmtId="3" fontId="9" fillId="0" borderId="6" xfId="0" applyNumberFormat="1" applyFont="1" applyFill="1" applyBorder="1" applyAlignment="1">
      <alignment horizontal="right" vertical="center"/>
    </xf>
    <xf numFmtId="0" fontId="0" fillId="0" borderId="6" xfId="0" applyFill="1" applyBorder="1"/>
    <xf numFmtId="3" fontId="8" fillId="0" borderId="6" xfId="0" applyNumberFormat="1" applyFont="1" applyFill="1" applyBorder="1" applyAlignment="1">
      <alignment horizontal="right" vertical="center"/>
    </xf>
    <xf numFmtId="0" fontId="8" fillId="0" borderId="6" xfId="0" applyFont="1" applyFill="1" applyBorder="1" applyAlignment="1">
      <alignment vertical="center"/>
    </xf>
    <xf numFmtId="0" fontId="8" fillId="0" borderId="6" xfId="0" applyFont="1" applyFill="1" applyBorder="1" applyAlignment="1">
      <alignment horizontal="right" vertical="center"/>
    </xf>
    <xf numFmtId="49" fontId="17" fillId="0" borderId="6" xfId="0" applyNumberFormat="1" applyFont="1" applyBorder="1"/>
    <xf numFmtId="164" fontId="13" fillId="8" borderId="6" xfId="0" applyNumberFormat="1" applyFont="1" applyFill="1" applyBorder="1"/>
    <xf numFmtId="0" fontId="18" fillId="5" borderId="6" xfId="0" applyFont="1" applyFill="1" applyBorder="1" applyAlignment="1">
      <alignment horizontal="center"/>
    </xf>
    <xf numFmtId="0" fontId="17" fillId="0" borderId="6" xfId="0" applyFont="1" applyBorder="1"/>
    <xf numFmtId="0" fontId="10" fillId="0" borderId="6" xfId="0" applyFont="1" applyBorder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13" fillId="0" borderId="6" xfId="0" applyFont="1" applyFill="1" applyBorder="1" applyAlignment="1">
      <alignment vertical="center"/>
    </xf>
    <xf numFmtId="49" fontId="13" fillId="0" borderId="6" xfId="0" applyNumberFormat="1" applyFont="1" applyBorder="1"/>
    <xf numFmtId="0" fontId="13" fillId="0" borderId="6" xfId="0" applyFont="1" applyBorder="1"/>
    <xf numFmtId="0" fontId="17" fillId="0" borderId="6" xfId="0" applyFont="1" applyFill="1" applyBorder="1" applyAlignment="1">
      <alignment vertical="center"/>
    </xf>
    <xf numFmtId="0" fontId="4" fillId="5" borderId="23" xfId="0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164" fontId="6" fillId="0" borderId="0" xfId="0" applyNumberFormat="1" applyFont="1" applyFill="1" applyBorder="1" applyAlignment="1">
      <alignment horizontal="right" vertical="center"/>
    </xf>
    <xf numFmtId="164" fontId="22" fillId="0" borderId="11" xfId="0" applyNumberFormat="1" applyFont="1" applyFill="1" applyBorder="1" applyAlignment="1">
      <alignment horizontal="right" vertical="center"/>
    </xf>
    <xf numFmtId="164" fontId="23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164" fontId="22" fillId="0" borderId="6" xfId="0" applyNumberFormat="1" applyFont="1" applyBorder="1" applyAlignment="1">
      <alignment vertical="center"/>
    </xf>
    <xf numFmtId="5" fontId="0" fillId="0" borderId="6" xfId="1" applyNumberFormat="1" applyFont="1" applyBorder="1" applyAlignment="1">
      <alignment vertical="center"/>
    </xf>
    <xf numFmtId="164" fontId="12" fillId="0" borderId="0" xfId="0" applyNumberFormat="1" applyFont="1"/>
    <xf numFmtId="0" fontId="0" fillId="10" borderId="0" xfId="0" applyFill="1"/>
    <xf numFmtId="164" fontId="21" fillId="6" borderId="12" xfId="0" applyNumberFormat="1" applyFont="1" applyFill="1" applyBorder="1" applyAlignment="1">
      <alignment horizontal="center" vertical="center"/>
    </xf>
    <xf numFmtId="3" fontId="17" fillId="0" borderId="6" xfId="0" applyNumberFormat="1" applyFont="1" applyFill="1" applyBorder="1" applyAlignment="1">
      <alignment horizontal="right" vertical="center"/>
    </xf>
    <xf numFmtId="5" fontId="17" fillId="0" borderId="6" xfId="1" applyNumberFormat="1" applyFont="1" applyBorder="1" applyAlignment="1">
      <alignment vertical="center"/>
    </xf>
    <xf numFmtId="3" fontId="13" fillId="0" borderId="6" xfId="0" applyNumberFormat="1" applyFont="1" applyFill="1" applyBorder="1" applyAlignment="1">
      <alignment horizontal="right" vertical="center"/>
    </xf>
    <xf numFmtId="5" fontId="13" fillId="0" borderId="6" xfId="1" applyNumberFormat="1" applyFont="1" applyBorder="1" applyAlignment="1">
      <alignment vertical="center"/>
    </xf>
    <xf numFmtId="164" fontId="13" fillId="4" borderId="0" xfId="0" applyNumberFormat="1" applyFont="1" applyFill="1" applyBorder="1"/>
    <xf numFmtId="164" fontId="10" fillId="0" borderId="0" xfId="0" applyNumberFormat="1" applyFont="1" applyFill="1" applyBorder="1"/>
    <xf numFmtId="0" fontId="10" fillId="11" borderId="0" xfId="0" applyFont="1" applyFill="1" applyBorder="1"/>
    <xf numFmtId="0" fontId="10" fillId="11" borderId="0" xfId="0" applyNumberFormat="1" applyFont="1" applyFill="1" applyBorder="1"/>
    <xf numFmtId="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/>
    <xf numFmtId="0" fontId="10" fillId="0" borderId="0" xfId="0" applyFont="1" applyFill="1" applyBorder="1"/>
    <xf numFmtId="0" fontId="25" fillId="0" borderId="6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7" xfId="0" applyFont="1" applyFill="1" applyBorder="1"/>
    <xf numFmtId="0" fontId="26" fillId="2" borderId="7" xfId="0" applyFont="1" applyFill="1" applyBorder="1" applyAlignment="1"/>
    <xf numFmtId="0" fontId="26" fillId="2" borderId="8" xfId="0" applyFont="1" applyFill="1" applyBorder="1" applyAlignment="1"/>
    <xf numFmtId="0" fontId="26" fillId="2" borderId="2" xfId="0" applyFont="1" applyFill="1" applyBorder="1"/>
    <xf numFmtId="0" fontId="26" fillId="3" borderId="0" xfId="0" applyFont="1" applyFill="1" applyBorder="1" applyAlignment="1"/>
    <xf numFmtId="0" fontId="26" fillId="2" borderId="4" xfId="0" applyFont="1" applyFill="1" applyBorder="1" applyAlignment="1"/>
    <xf numFmtId="0" fontId="26" fillId="3" borderId="0" xfId="0" applyFont="1" applyFill="1" applyBorder="1"/>
    <xf numFmtId="0" fontId="30" fillId="3" borderId="0" xfId="0" applyFont="1" applyFill="1" applyBorder="1" applyAlignment="1">
      <alignment horizontal="center" vertical="center" wrapText="1"/>
    </xf>
    <xf numFmtId="49" fontId="31" fillId="0" borderId="0" xfId="0" applyNumberFormat="1" applyFont="1" applyFill="1" applyBorder="1" applyAlignment="1">
      <alignment horizontal="left"/>
    </xf>
    <xf numFmtId="49" fontId="31" fillId="0" borderId="0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/>
    </xf>
    <xf numFmtId="0" fontId="31" fillId="2" borderId="2" xfId="0" applyFont="1" applyFill="1" applyBorder="1"/>
    <xf numFmtId="0" fontId="32" fillId="3" borderId="0" xfId="0" applyFont="1" applyFill="1" applyBorder="1" applyAlignment="1">
      <alignment horizontal="right" vertical="center"/>
    </xf>
    <xf numFmtId="0" fontId="31" fillId="2" borderId="4" xfId="0" applyFont="1" applyFill="1" applyBorder="1"/>
    <xf numFmtId="0" fontId="32" fillId="3" borderId="0" xfId="0" applyFont="1" applyFill="1" applyBorder="1" applyAlignment="1">
      <alignment horizontal="center" vertical="center" wrapText="1"/>
    </xf>
    <xf numFmtId="0" fontId="31" fillId="3" borderId="0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14" fontId="31" fillId="8" borderId="0" xfId="0" applyNumberFormat="1" applyFont="1" applyFill="1" applyBorder="1" applyAlignment="1">
      <alignment horizontal="center" vertical="center" wrapText="1"/>
    </xf>
    <xf numFmtId="0" fontId="31" fillId="3" borderId="0" xfId="0" applyFont="1" applyFill="1" applyBorder="1"/>
    <xf numFmtId="0" fontId="31" fillId="3" borderId="0" xfId="0" applyFont="1" applyFill="1" applyBorder="1" applyAlignment="1">
      <alignment horizontal="center"/>
    </xf>
    <xf numFmtId="164" fontId="31" fillId="0" borderId="0" xfId="0" applyNumberFormat="1" applyFont="1" applyBorder="1" applyAlignment="1">
      <alignment horizontal="center" vertical="center"/>
    </xf>
    <xf numFmtId="0" fontId="31" fillId="3" borderId="0" xfId="0" applyFont="1" applyFill="1" applyBorder="1" applyAlignment="1">
      <alignment horizontal="right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right"/>
    </xf>
    <xf numFmtId="164" fontId="32" fillId="0" borderId="0" xfId="0" applyNumberFormat="1" applyFont="1" applyFill="1" applyBorder="1" applyAlignment="1">
      <alignment horizontal="center" vertical="center"/>
    </xf>
    <xf numFmtId="164" fontId="31" fillId="0" borderId="0" xfId="0" applyNumberFormat="1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vertical="center" wrapText="1"/>
    </xf>
    <xf numFmtId="0" fontId="32" fillId="0" borderId="0" xfId="0" applyFont="1" applyFill="1" applyBorder="1" applyAlignment="1">
      <alignment horizontal="center" vertical="center"/>
    </xf>
    <xf numFmtId="0" fontId="26" fillId="2" borderId="4" xfId="0" applyFont="1" applyFill="1" applyBorder="1"/>
    <xf numFmtId="0" fontId="30" fillId="3" borderId="0" xfId="0" applyFont="1" applyFill="1" applyBorder="1"/>
    <xf numFmtId="0" fontId="33" fillId="3" borderId="0" xfId="0" applyFont="1" applyFill="1" applyBorder="1" applyAlignment="1">
      <alignment horizontal="right"/>
    </xf>
    <xf numFmtId="0" fontId="26" fillId="2" borderId="3" xfId="0" applyFont="1" applyFill="1" applyBorder="1"/>
    <xf numFmtId="0" fontId="26" fillId="2" borderId="9" xfId="0" applyFont="1" applyFill="1" applyBorder="1"/>
    <xf numFmtId="0" fontId="26" fillId="2" borderId="9" xfId="0" applyFont="1" applyFill="1" applyBorder="1" applyAlignment="1"/>
    <xf numFmtId="0" fontId="26" fillId="2" borderId="5" xfId="0" applyFont="1" applyFill="1" applyBorder="1"/>
    <xf numFmtId="0" fontId="26" fillId="0" borderId="0" xfId="0" applyFont="1" applyFill="1"/>
    <xf numFmtId="0" fontId="26" fillId="0" borderId="10" xfId="0" applyFont="1" applyFill="1" applyBorder="1"/>
    <xf numFmtId="0" fontId="26" fillId="0" borderId="0" xfId="0" applyFont="1" applyFill="1" applyBorder="1"/>
    <xf numFmtId="0" fontId="26" fillId="0" borderId="1" xfId="0" applyFont="1" applyFill="1" applyBorder="1"/>
    <xf numFmtId="0" fontId="26" fillId="0" borderId="7" xfId="0" applyFont="1" applyFill="1" applyBorder="1"/>
    <xf numFmtId="0" fontId="26" fillId="0" borderId="7" xfId="0" applyFont="1" applyFill="1" applyBorder="1" applyAlignment="1"/>
    <xf numFmtId="0" fontId="26" fillId="0" borderId="8" xfId="0" applyFont="1" applyFill="1" applyBorder="1" applyAlignment="1"/>
    <xf numFmtId="0" fontId="26" fillId="0" borderId="2" xfId="0" applyFont="1" applyFill="1" applyBorder="1"/>
    <xf numFmtId="0" fontId="26" fillId="0" borderId="0" xfId="0" applyFont="1" applyFill="1" applyBorder="1" applyAlignment="1"/>
    <xf numFmtId="0" fontId="26" fillId="0" borderId="4" xfId="0" applyFont="1" applyFill="1" applyBorder="1" applyAlignment="1"/>
    <xf numFmtId="0" fontId="30" fillId="0" borderId="0" xfId="0" applyFont="1" applyFill="1" applyBorder="1" applyAlignment="1">
      <alignment horizontal="center" vertical="center" wrapText="1"/>
    </xf>
    <xf numFmtId="49" fontId="26" fillId="0" borderId="0" xfId="0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/>
    </xf>
    <xf numFmtId="0" fontId="31" fillId="0" borderId="2" xfId="0" applyFont="1" applyFill="1" applyBorder="1"/>
    <xf numFmtId="0" fontId="32" fillId="0" borderId="0" xfId="0" applyFont="1" applyFill="1" applyBorder="1" applyAlignment="1">
      <alignment horizontal="right" vertical="center"/>
    </xf>
    <xf numFmtId="0" fontId="31" fillId="0" borderId="4" xfId="0" applyFont="1" applyFill="1" applyBorder="1"/>
    <xf numFmtId="0" fontId="31" fillId="0" borderId="0" xfId="0" applyFont="1" applyFill="1" applyBorder="1" applyAlignment="1">
      <alignment horizontal="center" vertical="center" wrapText="1"/>
    </xf>
    <xf numFmtId="14" fontId="31" fillId="0" borderId="0" xfId="0" applyNumberFormat="1" applyFont="1" applyFill="1" applyBorder="1" applyAlignment="1">
      <alignment horizontal="center" vertical="center" wrapText="1"/>
    </xf>
    <xf numFmtId="0" fontId="31" fillId="0" borderId="0" xfId="0" applyFont="1" applyFill="1" applyBorder="1"/>
    <xf numFmtId="0" fontId="3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right"/>
    </xf>
    <xf numFmtId="0" fontId="32" fillId="0" borderId="0" xfId="0" applyFont="1" applyFill="1" applyBorder="1" applyAlignment="1">
      <alignment horizontal="right"/>
    </xf>
    <xf numFmtId="0" fontId="31" fillId="0" borderId="0" xfId="0" applyFont="1" applyFill="1" applyBorder="1" applyAlignment="1">
      <alignment vertical="center" wrapText="1"/>
    </xf>
    <xf numFmtId="0" fontId="26" fillId="0" borderId="4" xfId="0" applyFont="1" applyFill="1" applyBorder="1"/>
    <xf numFmtId="0" fontId="30" fillId="0" borderId="0" xfId="0" applyFont="1" applyFill="1" applyBorder="1"/>
    <xf numFmtId="0" fontId="33" fillId="0" borderId="0" xfId="0" applyFont="1" applyFill="1" applyBorder="1" applyAlignment="1">
      <alignment horizontal="right"/>
    </xf>
    <xf numFmtId="0" fontId="26" fillId="0" borderId="3" xfId="0" applyFont="1" applyFill="1" applyBorder="1"/>
    <xf numFmtId="0" fontId="26" fillId="0" borderId="9" xfId="0" applyFont="1" applyFill="1" applyBorder="1"/>
    <xf numFmtId="0" fontId="26" fillId="0" borderId="9" xfId="0" applyFont="1" applyFill="1" applyBorder="1" applyAlignment="1"/>
    <xf numFmtId="0" fontId="26" fillId="0" borderId="5" xfId="0" applyFont="1" applyFill="1" applyBorder="1"/>
    <xf numFmtId="0" fontId="25" fillId="0" borderId="6" xfId="0" applyFont="1" applyBorder="1"/>
    <xf numFmtId="3" fontId="25" fillId="0" borderId="6" xfId="0" applyNumberFormat="1" applyFont="1" applyFill="1" applyBorder="1" applyAlignment="1">
      <alignment horizontal="right" vertical="center"/>
    </xf>
    <xf numFmtId="49" fontId="25" fillId="0" borderId="6" xfId="0" applyNumberFormat="1" applyFont="1" applyBorder="1"/>
    <xf numFmtId="5" fontId="25" fillId="0" borderId="6" xfId="1" applyNumberFormat="1" applyFont="1" applyBorder="1" applyAlignment="1">
      <alignment vertical="center"/>
    </xf>
    <xf numFmtId="0" fontId="13" fillId="0" borderId="6" xfId="0" applyFont="1" applyFill="1" applyBorder="1"/>
    <xf numFmtId="0" fontId="17" fillId="0" borderId="6" xfId="0" applyFont="1" applyFill="1" applyBorder="1"/>
    <xf numFmtId="3" fontId="36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/>
    <xf numFmtId="49" fontId="13" fillId="0" borderId="6" xfId="0" applyNumberFormat="1" applyFont="1" applyFill="1" applyBorder="1"/>
    <xf numFmtId="5" fontId="13" fillId="0" borderId="6" xfId="1" applyNumberFormat="1" applyFont="1" applyFill="1" applyBorder="1" applyAlignment="1">
      <alignment vertical="center"/>
    </xf>
    <xf numFmtId="49" fontId="0" fillId="0" borderId="6" xfId="0" applyNumberFormat="1" applyFill="1" applyBorder="1"/>
    <xf numFmtId="5" fontId="0" fillId="0" borderId="6" xfId="1" applyNumberFormat="1" applyFont="1" applyFill="1" applyBorder="1" applyAlignment="1">
      <alignment vertical="center"/>
    </xf>
    <xf numFmtId="0" fontId="17" fillId="7" borderId="6" xfId="0" applyFont="1" applyFill="1" applyBorder="1" applyAlignment="1">
      <alignment horizontal="center"/>
    </xf>
    <xf numFmtId="164" fontId="17" fillId="0" borderId="6" xfId="0" applyNumberFormat="1" applyFont="1" applyBorder="1"/>
    <xf numFmtId="164" fontId="17" fillId="7" borderId="6" xfId="0" applyNumberFormat="1" applyFont="1" applyFill="1" applyBorder="1" applyAlignment="1">
      <alignment horizontal="center"/>
    </xf>
    <xf numFmtId="164" fontId="17" fillId="8" borderId="6" xfId="0" applyNumberFormat="1" applyFont="1" applyFill="1" applyBorder="1"/>
    <xf numFmtId="49" fontId="17" fillId="0" borderId="6" xfId="0" applyNumberFormat="1" applyFont="1" applyFill="1" applyBorder="1"/>
    <xf numFmtId="0" fontId="13" fillId="7" borderId="6" xfId="0" applyFont="1" applyFill="1" applyBorder="1" applyAlignment="1">
      <alignment horizontal="center"/>
    </xf>
    <xf numFmtId="164" fontId="13" fillId="0" borderId="6" xfId="0" applyNumberFormat="1" applyFont="1" applyBorder="1"/>
    <xf numFmtId="164" fontId="13" fillId="7" borderId="6" xfId="0" applyNumberFormat="1" applyFont="1" applyFill="1" applyBorder="1" applyAlignment="1">
      <alignment horizontal="center"/>
    </xf>
    <xf numFmtId="0" fontId="10" fillId="6" borderId="25" xfId="0" applyFont="1" applyFill="1" applyBorder="1" applyAlignment="1">
      <alignment horizontal="center"/>
    </xf>
    <xf numFmtId="164" fontId="0" fillId="0" borderId="25" xfId="0" applyNumberFormat="1" applyBorder="1"/>
    <xf numFmtId="164" fontId="17" fillId="0" borderId="25" xfId="0" applyNumberFormat="1" applyFont="1" applyBorder="1"/>
    <xf numFmtId="164" fontId="13" fillId="0" borderId="25" xfId="0" applyNumberFormat="1" applyFont="1" applyBorder="1"/>
    <xf numFmtId="0" fontId="13" fillId="0" borderId="6" xfId="0" applyFont="1" applyBorder="1" applyAlignment="1">
      <alignment horizontal="center"/>
    </xf>
    <xf numFmtId="0" fontId="4" fillId="14" borderId="26" xfId="0" applyFont="1" applyFill="1" applyBorder="1" applyAlignment="1">
      <alignment horizontal="center"/>
    </xf>
    <xf numFmtId="0" fontId="4" fillId="13" borderId="26" xfId="0" applyFont="1" applyFill="1" applyBorder="1" applyAlignment="1">
      <alignment horizontal="center"/>
    </xf>
    <xf numFmtId="164" fontId="17" fillId="0" borderId="0" xfId="0" applyNumberFormat="1" applyFont="1"/>
    <xf numFmtId="0" fontId="25" fillId="0" borderId="6" xfId="0" applyFont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164" fontId="25" fillId="0" borderId="6" xfId="0" applyNumberFormat="1" applyFont="1" applyBorder="1"/>
    <xf numFmtId="164" fontId="25" fillId="7" borderId="6" xfId="0" applyNumberFormat="1" applyFont="1" applyFill="1" applyBorder="1" applyAlignment="1">
      <alignment horizontal="center"/>
    </xf>
    <xf numFmtId="164" fontId="25" fillId="8" borderId="6" xfId="0" applyNumberFormat="1" applyFont="1" applyFill="1" applyBorder="1"/>
    <xf numFmtId="164" fontId="25" fillId="0" borderId="25" xfId="0" applyNumberFormat="1" applyFont="1" applyBorder="1"/>
    <xf numFmtId="164" fontId="25" fillId="0" borderId="0" xfId="0" applyNumberFormat="1" applyFont="1"/>
    <xf numFmtId="164" fontId="13" fillId="0" borderId="0" xfId="0" applyNumberFormat="1" applyFont="1"/>
    <xf numFmtId="3" fontId="37" fillId="0" borderId="6" xfId="0" applyNumberFormat="1" applyFont="1" applyFill="1" applyBorder="1" applyAlignment="1">
      <alignment horizontal="right" vertical="center"/>
    </xf>
    <xf numFmtId="0" fontId="13" fillId="0" borderId="6" xfId="0" applyFont="1" applyFill="1" applyBorder="1" applyAlignment="1">
      <alignment horizontal="right" vertical="center"/>
    </xf>
    <xf numFmtId="164" fontId="0" fillId="0" borderId="0" xfId="0" applyNumberFormat="1" applyBorder="1"/>
    <xf numFmtId="0" fontId="4" fillId="15" borderId="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39" fillId="7" borderId="27" xfId="0" applyFont="1" applyFill="1" applyBorder="1" applyAlignment="1">
      <alignment horizontal="left"/>
    </xf>
    <xf numFmtId="164" fontId="0" fillId="0" borderId="27" xfId="0" applyNumberFormat="1" applyBorder="1"/>
    <xf numFmtId="164" fontId="25" fillId="0" borderId="27" xfId="0" applyNumberFormat="1" applyFont="1" applyBorder="1"/>
    <xf numFmtId="164" fontId="13" fillId="0" borderId="27" xfId="0" applyNumberFormat="1" applyFont="1" applyBorder="1"/>
    <xf numFmtId="164" fontId="17" fillId="0" borderId="27" xfId="0" applyNumberFormat="1" applyFont="1" applyBorder="1"/>
    <xf numFmtId="0" fontId="10" fillId="16" borderId="28" xfId="0" applyFont="1" applyFill="1" applyBorder="1" applyAlignment="1">
      <alignment horizontal="center"/>
    </xf>
    <xf numFmtId="164" fontId="0" fillId="16" borderId="28" xfId="0" applyNumberFormat="1" applyFill="1" applyBorder="1"/>
    <xf numFmtId="164" fontId="25" fillId="16" borderId="28" xfId="0" applyNumberFormat="1" applyFont="1" applyFill="1" applyBorder="1"/>
    <xf numFmtId="164" fontId="13" fillId="16" borderId="28" xfId="0" applyNumberFormat="1" applyFont="1" applyFill="1" applyBorder="1"/>
    <xf numFmtId="164" fontId="17" fillId="16" borderId="28" xfId="0" applyNumberFormat="1" applyFont="1" applyFill="1" applyBorder="1"/>
    <xf numFmtId="0" fontId="20" fillId="16" borderId="28" xfId="0" applyFont="1" applyFill="1" applyBorder="1" applyAlignment="1">
      <alignment horizontal="left" vertical="center"/>
    </xf>
    <xf numFmtId="164" fontId="12" fillId="0" borderId="6" xfId="0" applyNumberFormat="1" applyFont="1" applyFill="1" applyBorder="1"/>
    <xf numFmtId="0" fontId="0" fillId="17" borderId="0" xfId="0" applyFill="1"/>
    <xf numFmtId="0" fontId="25" fillId="17" borderId="0" xfId="0" applyFont="1" applyFill="1"/>
    <xf numFmtId="0" fontId="13" fillId="17" borderId="0" xfId="0" applyFont="1" applyFill="1"/>
    <xf numFmtId="0" fontId="17" fillId="17" borderId="0" xfId="0" applyFont="1" applyFill="1"/>
    <xf numFmtId="0" fontId="0" fillId="17" borderId="0" xfId="0" applyFill="1" applyAlignment="1">
      <alignment horizontal="left"/>
    </xf>
    <xf numFmtId="42" fontId="0" fillId="17" borderId="0" xfId="1" applyNumberFormat="1" applyFont="1" applyFill="1"/>
    <xf numFmtId="0" fontId="38" fillId="17" borderId="0" xfId="0" applyNumberFormat="1" applyFont="1" applyFill="1" applyAlignment="1">
      <alignment horizontal="center"/>
    </xf>
    <xf numFmtId="14" fontId="0" fillId="17" borderId="0" xfId="0" applyNumberFormat="1" applyFill="1"/>
    <xf numFmtId="164" fontId="0" fillId="17" borderId="0" xfId="0" applyNumberFormat="1" applyFill="1"/>
    <xf numFmtId="164" fontId="38" fillId="17" borderId="0" xfId="0" applyNumberFormat="1" applyFont="1" applyFill="1"/>
    <xf numFmtId="0" fontId="0" fillId="17" borderId="0" xfId="0" applyFill="1" applyBorder="1"/>
    <xf numFmtId="0" fontId="0" fillId="17" borderId="0" xfId="0" applyFill="1" applyAlignment="1">
      <alignment horizontal="center"/>
    </xf>
    <xf numFmtId="49" fontId="38" fillId="17" borderId="0" xfId="0" applyNumberFormat="1" applyFont="1" applyFill="1" applyBorder="1"/>
    <xf numFmtId="164" fontId="17" fillId="0" borderId="0" xfId="0" applyNumberFormat="1" applyFont="1" applyBorder="1"/>
    <xf numFmtId="164" fontId="25" fillId="0" borderId="0" xfId="0" applyNumberFormat="1" applyFont="1" applyBorder="1"/>
    <xf numFmtId="164" fontId="13" fillId="0" borderId="0" xfId="0" applyNumberFormat="1" applyFont="1" applyBorder="1"/>
    <xf numFmtId="0" fontId="13" fillId="0" borderId="6" xfId="0" applyFont="1" applyFill="1" applyBorder="1" applyAlignment="1">
      <alignment horizontal="center"/>
    </xf>
    <xf numFmtId="14" fontId="13" fillId="0" borderId="6" xfId="0" applyNumberFormat="1" applyFont="1" applyBorder="1" applyAlignment="1">
      <alignment horizontal="center"/>
    </xf>
    <xf numFmtId="0" fontId="14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20" fillId="9" borderId="24" xfId="0" applyFont="1" applyFill="1" applyBorder="1" applyAlignment="1">
      <alignment horizontal="left" vertical="center"/>
    </xf>
    <xf numFmtId="0" fontId="40" fillId="17" borderId="0" xfId="0" applyFont="1" applyFill="1" applyAlignment="1">
      <alignment horizontal="left" vertical="top" textRotation="90"/>
    </xf>
    <xf numFmtId="0" fontId="2" fillId="0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26" fillId="0" borderId="9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right"/>
    </xf>
    <xf numFmtId="0" fontId="30" fillId="0" borderId="0" xfId="0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center" vertical="center" wrapText="1"/>
    </xf>
    <xf numFmtId="0" fontId="31" fillId="0" borderId="15" xfId="0" applyFont="1" applyFill="1" applyBorder="1" applyAlignment="1">
      <alignment horizontal="center" vertical="center" wrapText="1"/>
    </xf>
    <xf numFmtId="0" fontId="31" fillId="0" borderId="16" xfId="0" applyFont="1" applyFill="1" applyBorder="1" applyAlignment="1">
      <alignment horizontal="center" vertical="center" wrapText="1"/>
    </xf>
    <xf numFmtId="0" fontId="31" fillId="0" borderId="17" xfId="0" applyFont="1" applyFill="1" applyBorder="1" applyAlignment="1">
      <alignment horizontal="center" vertical="center" wrapText="1"/>
    </xf>
    <xf numFmtId="0" fontId="31" fillId="0" borderId="18" xfId="0" applyFont="1" applyFill="1" applyBorder="1" applyAlignment="1">
      <alignment horizontal="center" vertical="center" wrapText="1"/>
    </xf>
    <xf numFmtId="0" fontId="31" fillId="0" borderId="6" xfId="0" applyFont="1" applyFill="1" applyBorder="1" applyAlignment="1">
      <alignment horizontal="center" vertical="center" wrapText="1"/>
    </xf>
    <xf numFmtId="0" fontId="31" fillId="0" borderId="19" xfId="0" applyFont="1" applyFill="1" applyBorder="1" applyAlignment="1">
      <alignment horizontal="center" vertical="center" wrapText="1"/>
    </xf>
    <xf numFmtId="0" fontId="31" fillId="0" borderId="20" xfId="0" applyFont="1" applyFill="1" applyBorder="1" applyAlignment="1">
      <alignment horizontal="center" vertical="center" wrapText="1"/>
    </xf>
    <xf numFmtId="0" fontId="31" fillId="0" borderId="21" xfId="0" applyFont="1" applyFill="1" applyBorder="1" applyAlignment="1">
      <alignment horizontal="center" vertical="center" wrapText="1"/>
    </xf>
    <xf numFmtId="0" fontId="31" fillId="0" borderId="22" xfId="0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center" vertical="center"/>
    </xf>
    <xf numFmtId="0" fontId="32" fillId="0" borderId="14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/>
    </xf>
    <xf numFmtId="0" fontId="31" fillId="0" borderId="14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right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right"/>
    </xf>
    <xf numFmtId="0" fontId="30" fillId="3" borderId="0" xfId="0" applyFont="1" applyFill="1" applyBorder="1" applyAlignment="1">
      <alignment horizontal="center" vertical="center" wrapText="1"/>
    </xf>
    <xf numFmtId="0" fontId="26" fillId="2" borderId="9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vertical="center" wrapText="1"/>
    </xf>
    <xf numFmtId="0" fontId="32" fillId="3" borderId="0" xfId="0" applyFont="1" applyFill="1" applyBorder="1" applyAlignment="1">
      <alignment horizontal="right" vertical="center"/>
    </xf>
    <xf numFmtId="0" fontId="30" fillId="3" borderId="0" xfId="0" applyFont="1" applyFill="1" applyBorder="1" applyAlignment="1">
      <alignment horizontal="right" vertical="center"/>
    </xf>
    <xf numFmtId="0" fontId="30" fillId="3" borderId="0" xfId="0" applyFont="1" applyFill="1" applyBorder="1" applyAlignment="1">
      <alignment horizontal="right"/>
    </xf>
    <xf numFmtId="0" fontId="32" fillId="3" borderId="0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1" fillId="8" borderId="13" xfId="0" applyFont="1" applyFill="1" applyBorder="1" applyAlignment="1">
      <alignment horizontal="center"/>
    </xf>
    <xf numFmtId="0" fontId="31" fillId="8" borderId="14" xfId="0" applyFont="1" applyFill="1" applyBorder="1" applyAlignment="1">
      <alignment horizontal="center"/>
    </xf>
    <xf numFmtId="0" fontId="30" fillId="3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right"/>
    </xf>
    <xf numFmtId="0" fontId="20" fillId="0" borderId="0" xfId="0" applyFont="1" applyBorder="1" applyAlignment="1">
      <alignment horizontal="right"/>
    </xf>
    <xf numFmtId="0" fontId="20" fillId="0" borderId="0" xfId="0" applyFont="1" applyBorder="1" applyAlignment="1">
      <alignment horizontal="center"/>
    </xf>
    <xf numFmtId="0" fontId="26" fillId="0" borderId="6" xfId="0" applyFont="1" applyFill="1" applyBorder="1" applyAlignment="1">
      <alignment horizontal="center"/>
    </xf>
    <xf numFmtId="0" fontId="38" fillId="5" borderId="0" xfId="0" applyFont="1" applyFill="1" applyAlignment="1">
      <alignment horizontal="center"/>
    </xf>
  </cellXfs>
  <cellStyles count="2">
    <cellStyle name="Moneda" xfId="1" builtinId="4"/>
    <cellStyle name="Normal" xfId="0" builtinId="0"/>
  </cellStyles>
  <dxfs count="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141400"/>
      <color rgb="FF3E0163"/>
      <color rgb="FF0068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00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HISTORIAL FACTURADO.</a:t>
            </a:r>
          </a:p>
          <a:p>
            <a:pPr>
              <a:defRPr/>
            </a:pPr>
            <a:r>
              <a:rPr lang="es-CO" sz="100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ÚLTIMOS CUATRO MESES ($$)</a:t>
            </a:r>
            <a:endParaRPr lang="es-CO" sz="1000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  <a:sp3d/>
      </c:spPr>
    </c:sideWall>
    <c:backWall>
      <c:thickness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'PEG. USUARIO A FACTURAR'!$Y$2:$AB$2</c:f>
              <c:strCache>
                <c:ptCount val="4"/>
                <c:pt idx="0">
                  <c:v>MAYO</c:v>
                </c:pt>
                <c:pt idx="1">
                  <c:v>JUNIO</c:v>
                </c:pt>
                <c:pt idx="2">
                  <c:v>JULIO</c:v>
                </c:pt>
                <c:pt idx="3">
                  <c:v>AGOSTO</c:v>
                </c:pt>
              </c:strCache>
            </c:strRef>
          </c:cat>
          <c:val>
            <c:numRef>
              <c:f>'PEG. USUARIO A FACTURAR'!$Y$3:$AB$3</c:f>
              <c:numCache>
                <c:formatCode>"$"\ #,##0</c:formatCode>
                <c:ptCount val="4"/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0DE7-469B-BFB1-BADB77B5C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2068325024"/>
        <c:axId val="2068386368"/>
        <c:axId val="0"/>
      </c:bar3DChart>
      <c:catAx>
        <c:axId val="206832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68386368"/>
        <c:crosses val="autoZero"/>
        <c:auto val="1"/>
        <c:lblAlgn val="ctr"/>
        <c:lblOffset val="100"/>
        <c:noMultiLvlLbl val="0"/>
      </c:catAx>
      <c:valAx>
        <c:axId val="206838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6832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67000"/>
          </a:schemeClr>
        </a:gs>
        <a:gs pos="48000">
          <a:schemeClr val="accent6">
            <a:lumMod val="97000"/>
            <a:lumOff val="3000"/>
          </a:schemeClr>
        </a:gs>
        <a:gs pos="100000">
          <a:schemeClr val="accent6">
            <a:lumMod val="60000"/>
            <a:lumOff val="40000"/>
          </a:schemeClr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134700</xdr:colOff>
      <xdr:row>0</xdr:row>
      <xdr:rowOff>28865</xdr:rowOff>
    </xdr:from>
    <xdr:to>
      <xdr:col>2</xdr:col>
      <xdr:colOff>1257300</xdr:colOff>
      <xdr:row>0</xdr:row>
      <xdr:rowOff>355986</xdr:rowOff>
    </xdr:to>
    <xdr:sp macro="[0]!GenerarInforme" textlink="">
      <xdr:nvSpPr>
        <xdr:cNvPr id="2" name="Rectángulo: biselado 1">
          <a:extLst>
            <a:ext uri="{FF2B5EF4-FFF2-40B4-BE49-F238E27FC236}">
              <a16:creationId xmlns:a16="http://schemas.microsoft.com/office/drawing/2014/main" id="{F5441A96-7F7D-2228-0663-F25262086904}"/>
            </a:ext>
          </a:extLst>
        </xdr:cNvPr>
        <xdr:cNvSpPr/>
      </xdr:nvSpPr>
      <xdr:spPr>
        <a:xfrm>
          <a:off x="2306400" y="28865"/>
          <a:ext cx="1122600" cy="327121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050" b="1"/>
            <a:t>VER</a:t>
          </a:r>
          <a:r>
            <a:rPr lang="es-CO" sz="1050" b="1" baseline="0"/>
            <a:t> F</a:t>
          </a:r>
          <a:r>
            <a:rPr lang="es-CO" sz="1050" b="1"/>
            <a:t>ACTURA</a:t>
          </a:r>
          <a:endParaRPr lang="es-C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24739</xdr:colOff>
      <xdr:row>4</xdr:row>
      <xdr:rowOff>0</xdr:rowOff>
    </xdr:from>
    <xdr:to>
      <xdr:col>1</xdr:col>
      <xdr:colOff>1793668</xdr:colOff>
      <xdr:row>5</xdr:row>
      <xdr:rowOff>98961</xdr:rowOff>
    </xdr:to>
    <xdr:sp macro="[0]!LimpiarInforme" textlink="">
      <xdr:nvSpPr>
        <xdr:cNvPr id="2" name="Rectángulo 1">
          <a:extLst>
            <a:ext uri="{FF2B5EF4-FFF2-40B4-BE49-F238E27FC236}">
              <a16:creationId xmlns:a16="http://schemas.microsoft.com/office/drawing/2014/main" id="{8E8D93E9-F324-429D-245B-9ED9561B3017}"/>
            </a:ext>
          </a:extLst>
        </xdr:cNvPr>
        <xdr:cNvSpPr/>
      </xdr:nvSpPr>
      <xdr:spPr>
        <a:xfrm>
          <a:off x="24739" y="865909"/>
          <a:ext cx="1768929" cy="371104"/>
        </a:xfrm>
        <a:prstGeom prst="rect">
          <a:avLst/>
        </a:prstGeom>
        <a:solidFill>
          <a:srgbClr val="FF0000"/>
        </a:solidFill>
        <a:effectLst>
          <a:glow rad="127000">
            <a:srgbClr val="FFFF00"/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600" b="1"/>
            <a:t>Limpiar</a:t>
          </a:r>
          <a:r>
            <a:rPr lang="es-CO" sz="1600" b="1" baseline="0"/>
            <a:t> informe</a:t>
          </a:r>
          <a:endParaRPr lang="es-CO" sz="1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195266</xdr:colOff>
      <xdr:row>0</xdr:row>
      <xdr:rowOff>57150</xdr:rowOff>
    </xdr:from>
    <xdr:to>
      <xdr:col>11</xdr:col>
      <xdr:colOff>4765</xdr:colOff>
      <xdr:row>4</xdr:row>
      <xdr:rowOff>133350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2BC99AEE-7A69-5347-B262-46047BF07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2516" y="57150"/>
          <a:ext cx="1847849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5</xdr:row>
      <xdr:rowOff>0</xdr:rowOff>
    </xdr:from>
    <xdr:to>
      <xdr:col>4</xdr:col>
      <xdr:colOff>1283805</xdr:colOff>
      <xdr:row>20</xdr:row>
      <xdr:rowOff>115956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6196DF-1E19-4A62-B64B-DB3626551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8</xdr:col>
      <xdr:colOff>195266</xdr:colOff>
      <xdr:row>28</xdr:row>
      <xdr:rowOff>57150</xdr:rowOff>
    </xdr:from>
    <xdr:to>
      <xdr:col>11</xdr:col>
      <xdr:colOff>4765</xdr:colOff>
      <xdr:row>32</xdr:row>
      <xdr:rowOff>133350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2645547-CF7C-475C-A4D1-3A8B9BBCA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1141" y="57150"/>
          <a:ext cx="1924049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503B4-7509-4F57-A2E8-BE84EBBFF9A4}">
  <sheetPr codeName="Hoja5"/>
  <dimension ref="A1:H114"/>
  <sheetViews>
    <sheetView zoomScaleNormal="100" workbookViewId="0">
      <selection activeCell="E1" sqref="E1:H4"/>
    </sheetView>
  </sheetViews>
  <sheetFormatPr baseColWidth="10" defaultRowHeight="15" x14ac:dyDescent="0.25"/>
  <cols>
    <col min="1" max="1" width="4.5703125" customWidth="1"/>
    <col min="2" max="2" width="28.5703125" customWidth="1"/>
    <col min="3" max="3" width="14.28515625" customWidth="1"/>
  </cols>
  <sheetData>
    <row r="1" spans="1:8" x14ac:dyDescent="0.25">
      <c r="A1" s="4">
        <v>1</v>
      </c>
      <c r="B1" s="27" t="s">
        <v>130</v>
      </c>
      <c r="C1" s="28">
        <v>49658251</v>
      </c>
      <c r="E1" s="210" t="s">
        <v>124</v>
      </c>
      <c r="F1" s="210"/>
      <c r="G1" s="211"/>
      <c r="H1" s="211"/>
    </row>
    <row r="2" spans="1:8" x14ac:dyDescent="0.25">
      <c r="A2" s="4">
        <v>2</v>
      </c>
      <c r="B2" s="27" t="s">
        <v>36</v>
      </c>
      <c r="C2" s="28">
        <v>1002295311</v>
      </c>
      <c r="E2" s="211"/>
      <c r="F2" s="211"/>
      <c r="G2" s="211"/>
      <c r="H2" s="211"/>
    </row>
    <row r="3" spans="1:8" x14ac:dyDescent="0.25">
      <c r="A3" s="4">
        <v>3</v>
      </c>
      <c r="B3" s="27" t="s">
        <v>37</v>
      </c>
      <c r="C3" s="28">
        <v>1050924260</v>
      </c>
      <c r="E3" s="211"/>
      <c r="F3" s="211"/>
      <c r="G3" s="211"/>
      <c r="H3" s="211"/>
    </row>
    <row r="4" spans="1:8" x14ac:dyDescent="0.25">
      <c r="A4" s="4">
        <v>4</v>
      </c>
      <c r="B4" s="27" t="s">
        <v>34</v>
      </c>
      <c r="C4" s="28">
        <v>1050921430</v>
      </c>
      <c r="E4" s="211"/>
      <c r="F4" s="211"/>
      <c r="G4" s="211"/>
      <c r="H4" s="211"/>
    </row>
    <row r="5" spans="1:8" x14ac:dyDescent="0.25">
      <c r="A5" s="4">
        <v>5</v>
      </c>
      <c r="B5" s="27" t="s">
        <v>131</v>
      </c>
      <c r="C5" s="29"/>
    </row>
    <row r="6" spans="1:8" x14ac:dyDescent="0.25">
      <c r="A6" s="4">
        <v>6</v>
      </c>
      <c r="B6" s="27" t="s">
        <v>85</v>
      </c>
      <c r="C6" s="28">
        <v>32007324</v>
      </c>
    </row>
    <row r="7" spans="1:8" x14ac:dyDescent="0.25">
      <c r="A7" s="4">
        <v>7</v>
      </c>
      <c r="B7" s="27" t="s">
        <v>260</v>
      </c>
      <c r="C7" s="28"/>
    </row>
    <row r="8" spans="1:8" x14ac:dyDescent="0.25">
      <c r="A8" s="4">
        <v>8</v>
      </c>
      <c r="B8" s="27" t="s">
        <v>82</v>
      </c>
      <c r="C8" s="28">
        <v>1050924425</v>
      </c>
    </row>
    <row r="9" spans="1:8" x14ac:dyDescent="0.25">
      <c r="A9" s="4">
        <v>9</v>
      </c>
      <c r="B9" s="27" t="s">
        <v>84</v>
      </c>
      <c r="C9" s="28">
        <v>37687223</v>
      </c>
    </row>
    <row r="10" spans="1:8" x14ac:dyDescent="0.25">
      <c r="A10" s="4">
        <v>10</v>
      </c>
      <c r="B10" s="27" t="s">
        <v>83</v>
      </c>
      <c r="C10" s="28">
        <v>23151769</v>
      </c>
    </row>
    <row r="11" spans="1:8" x14ac:dyDescent="0.25">
      <c r="A11" s="4">
        <v>11</v>
      </c>
      <c r="B11" s="27" t="s">
        <v>132</v>
      </c>
      <c r="C11" s="29"/>
    </row>
    <row r="12" spans="1:8" x14ac:dyDescent="0.25">
      <c r="A12" s="4">
        <v>12</v>
      </c>
      <c r="B12" s="27" t="s">
        <v>31</v>
      </c>
      <c r="C12" s="28">
        <v>1003249258</v>
      </c>
    </row>
    <row r="13" spans="1:8" x14ac:dyDescent="0.25">
      <c r="A13" s="4">
        <v>13</v>
      </c>
      <c r="B13" s="27" t="s">
        <v>95</v>
      </c>
      <c r="C13" s="28">
        <v>23151039</v>
      </c>
    </row>
    <row r="14" spans="1:8" x14ac:dyDescent="0.25">
      <c r="A14" s="4">
        <v>14</v>
      </c>
      <c r="B14" s="27" t="s">
        <v>94</v>
      </c>
      <c r="C14" s="28">
        <v>28310566</v>
      </c>
    </row>
    <row r="15" spans="1:8" x14ac:dyDescent="0.25">
      <c r="A15" s="4">
        <v>15</v>
      </c>
      <c r="B15" s="27" t="s">
        <v>102</v>
      </c>
      <c r="C15" s="28">
        <v>1065892267</v>
      </c>
    </row>
    <row r="16" spans="1:8" x14ac:dyDescent="0.25">
      <c r="A16" s="4">
        <v>16</v>
      </c>
      <c r="B16" s="27" t="s">
        <v>257</v>
      </c>
      <c r="C16" s="28">
        <v>23148213</v>
      </c>
    </row>
    <row r="17" spans="1:3" x14ac:dyDescent="0.25">
      <c r="A17" s="4">
        <v>17</v>
      </c>
      <c r="B17" s="27" t="s">
        <v>98</v>
      </c>
      <c r="C17" s="28">
        <v>23151144</v>
      </c>
    </row>
    <row r="18" spans="1:3" x14ac:dyDescent="0.25">
      <c r="A18" s="4">
        <v>18</v>
      </c>
      <c r="B18" s="27" t="s">
        <v>133</v>
      </c>
      <c r="C18" s="28">
        <v>23151128</v>
      </c>
    </row>
    <row r="19" spans="1:3" x14ac:dyDescent="0.25">
      <c r="A19" s="4">
        <v>19</v>
      </c>
      <c r="B19" s="27" t="s">
        <v>97</v>
      </c>
      <c r="C19" s="28">
        <v>23148165</v>
      </c>
    </row>
    <row r="20" spans="1:3" x14ac:dyDescent="0.25">
      <c r="A20" s="4">
        <v>20</v>
      </c>
      <c r="B20" s="27" t="s">
        <v>134</v>
      </c>
      <c r="C20" s="28">
        <v>45508106</v>
      </c>
    </row>
    <row r="21" spans="1:3" x14ac:dyDescent="0.25">
      <c r="A21" s="4">
        <v>21</v>
      </c>
      <c r="B21" s="27" t="s">
        <v>156</v>
      </c>
      <c r="C21" s="28"/>
    </row>
    <row r="22" spans="1:3" x14ac:dyDescent="0.25">
      <c r="A22" s="4">
        <v>22</v>
      </c>
      <c r="B22" s="27" t="s">
        <v>101</v>
      </c>
      <c r="C22" s="28">
        <v>23147623</v>
      </c>
    </row>
    <row r="23" spans="1:3" x14ac:dyDescent="0.25">
      <c r="A23" s="4">
        <v>23</v>
      </c>
      <c r="B23" s="27" t="s">
        <v>96</v>
      </c>
      <c r="C23" s="28">
        <v>23146827</v>
      </c>
    </row>
    <row r="24" spans="1:3" x14ac:dyDescent="0.25">
      <c r="A24" s="4">
        <v>24</v>
      </c>
      <c r="B24" s="27" t="s">
        <v>46</v>
      </c>
      <c r="C24" s="28">
        <v>3984411</v>
      </c>
    </row>
    <row r="25" spans="1:3" x14ac:dyDescent="0.25">
      <c r="A25" s="4">
        <v>25</v>
      </c>
      <c r="B25" s="27" t="s">
        <v>45</v>
      </c>
      <c r="C25" s="28">
        <v>1050549198</v>
      </c>
    </row>
    <row r="26" spans="1:3" x14ac:dyDescent="0.25">
      <c r="A26" s="4">
        <v>26</v>
      </c>
      <c r="B26" s="27" t="s">
        <v>135</v>
      </c>
      <c r="C26" s="28">
        <v>1129504266</v>
      </c>
    </row>
    <row r="27" spans="1:3" x14ac:dyDescent="0.25">
      <c r="A27" s="4">
        <v>27</v>
      </c>
      <c r="B27" s="27" t="s">
        <v>44</v>
      </c>
      <c r="C27" s="28">
        <v>1064714270</v>
      </c>
    </row>
    <row r="28" spans="1:3" x14ac:dyDescent="0.25">
      <c r="A28" s="4">
        <v>28</v>
      </c>
      <c r="B28" s="27" t="s">
        <v>136</v>
      </c>
      <c r="C28" s="29"/>
    </row>
    <row r="29" spans="1:3" x14ac:dyDescent="0.25">
      <c r="A29" s="4">
        <v>29</v>
      </c>
      <c r="B29" s="27" t="s">
        <v>39</v>
      </c>
      <c r="C29" s="28">
        <v>1050918448</v>
      </c>
    </row>
    <row r="30" spans="1:3" x14ac:dyDescent="0.25">
      <c r="A30" s="4">
        <v>30</v>
      </c>
      <c r="B30" s="27" t="s">
        <v>43</v>
      </c>
      <c r="C30" s="28">
        <v>1007640189</v>
      </c>
    </row>
    <row r="31" spans="1:3" x14ac:dyDescent="0.25">
      <c r="A31" s="4">
        <v>31</v>
      </c>
      <c r="B31" s="27" t="s">
        <v>38</v>
      </c>
      <c r="C31" s="28">
        <v>3985455</v>
      </c>
    </row>
    <row r="32" spans="1:3" x14ac:dyDescent="0.25">
      <c r="A32" s="4">
        <v>32</v>
      </c>
      <c r="B32" s="27" t="s">
        <v>40</v>
      </c>
      <c r="C32" s="28">
        <v>1050548458</v>
      </c>
    </row>
    <row r="33" spans="1:3" x14ac:dyDescent="0.25">
      <c r="A33" s="4">
        <v>33</v>
      </c>
      <c r="B33" s="27" t="s">
        <v>42</v>
      </c>
      <c r="C33" s="28">
        <v>28484251</v>
      </c>
    </row>
    <row r="34" spans="1:3" x14ac:dyDescent="0.25">
      <c r="A34" s="4">
        <v>34</v>
      </c>
      <c r="B34" s="27" t="s">
        <v>41</v>
      </c>
      <c r="C34" s="28">
        <v>1050922872</v>
      </c>
    </row>
    <row r="35" spans="1:3" ht="15.75" x14ac:dyDescent="0.25">
      <c r="A35" s="4">
        <v>35</v>
      </c>
      <c r="B35" s="27" t="s">
        <v>137</v>
      </c>
      <c r="C35" s="30">
        <v>3984911</v>
      </c>
    </row>
    <row r="36" spans="1:3" x14ac:dyDescent="0.25">
      <c r="A36" s="4">
        <v>36</v>
      </c>
      <c r="B36" s="27" t="s">
        <v>32</v>
      </c>
      <c r="C36" s="28">
        <v>7952736</v>
      </c>
    </row>
    <row r="37" spans="1:3" x14ac:dyDescent="0.25">
      <c r="A37" s="4">
        <v>37</v>
      </c>
      <c r="B37" s="27" t="s">
        <v>155</v>
      </c>
      <c r="C37" s="29"/>
    </row>
    <row r="38" spans="1:3" x14ac:dyDescent="0.25">
      <c r="A38" s="4">
        <v>38</v>
      </c>
      <c r="B38" s="27" t="s">
        <v>138</v>
      </c>
      <c r="C38" s="28">
        <v>1050918288</v>
      </c>
    </row>
    <row r="39" spans="1:3" x14ac:dyDescent="0.25">
      <c r="A39" s="4">
        <v>39</v>
      </c>
      <c r="B39" s="27" t="s">
        <v>139</v>
      </c>
      <c r="C39" s="28">
        <v>3980795</v>
      </c>
    </row>
    <row r="40" spans="1:3" x14ac:dyDescent="0.25">
      <c r="A40" s="4">
        <v>40</v>
      </c>
      <c r="B40" s="27" t="s">
        <v>140</v>
      </c>
      <c r="C40" s="29"/>
    </row>
    <row r="41" spans="1:3" x14ac:dyDescent="0.25">
      <c r="A41" s="4">
        <v>41</v>
      </c>
      <c r="B41" s="27" t="s">
        <v>142</v>
      </c>
      <c r="C41" s="29"/>
    </row>
    <row r="42" spans="1:3" x14ac:dyDescent="0.25">
      <c r="A42" s="4">
        <v>42</v>
      </c>
      <c r="B42" s="27" t="s">
        <v>141</v>
      </c>
      <c r="C42" s="29"/>
    </row>
    <row r="43" spans="1:3" x14ac:dyDescent="0.25">
      <c r="A43" s="4">
        <v>43</v>
      </c>
      <c r="B43" s="27" t="s">
        <v>100</v>
      </c>
      <c r="C43" s="28">
        <v>4009792</v>
      </c>
    </row>
    <row r="44" spans="1:3" x14ac:dyDescent="0.25">
      <c r="A44" s="4">
        <v>44</v>
      </c>
      <c r="B44" s="27" t="s">
        <v>143</v>
      </c>
      <c r="C44" s="28">
        <v>1036132710</v>
      </c>
    </row>
    <row r="45" spans="1:3" x14ac:dyDescent="0.25">
      <c r="A45" s="4">
        <v>45</v>
      </c>
      <c r="B45" s="27" t="s">
        <v>99</v>
      </c>
      <c r="C45" s="28">
        <v>30783127</v>
      </c>
    </row>
    <row r="46" spans="1:3" x14ac:dyDescent="0.25">
      <c r="A46" s="4">
        <v>46</v>
      </c>
      <c r="B46" s="27" t="s">
        <v>93</v>
      </c>
      <c r="C46" s="28">
        <v>1050551325</v>
      </c>
    </row>
    <row r="47" spans="1:3" x14ac:dyDescent="0.25">
      <c r="A47" s="4">
        <v>47</v>
      </c>
      <c r="B47" s="27" t="s">
        <v>92</v>
      </c>
      <c r="C47" s="28">
        <v>1050919786</v>
      </c>
    </row>
    <row r="48" spans="1:3" x14ac:dyDescent="0.25">
      <c r="A48" s="4">
        <v>48</v>
      </c>
      <c r="B48" s="27" t="s">
        <v>91</v>
      </c>
      <c r="C48" s="28">
        <v>23148760</v>
      </c>
    </row>
    <row r="49" spans="1:3" x14ac:dyDescent="0.25">
      <c r="A49" s="4">
        <v>49</v>
      </c>
      <c r="B49" s="27" t="s">
        <v>144</v>
      </c>
      <c r="C49" s="29"/>
    </row>
    <row r="50" spans="1:3" x14ac:dyDescent="0.25">
      <c r="A50" s="4">
        <v>50</v>
      </c>
      <c r="B50" s="27" t="s">
        <v>249</v>
      </c>
      <c r="C50" s="29"/>
    </row>
    <row r="51" spans="1:3" x14ac:dyDescent="0.25">
      <c r="A51" s="4">
        <v>51</v>
      </c>
      <c r="B51" s="27" t="s">
        <v>145</v>
      </c>
      <c r="C51" s="29"/>
    </row>
    <row r="52" spans="1:3" x14ac:dyDescent="0.25">
      <c r="A52" s="4">
        <v>52</v>
      </c>
      <c r="B52" s="27" t="s">
        <v>88</v>
      </c>
      <c r="C52" s="28">
        <v>1050922793</v>
      </c>
    </row>
    <row r="53" spans="1:3" x14ac:dyDescent="0.25">
      <c r="A53" s="4">
        <v>53</v>
      </c>
      <c r="B53" s="27" t="s">
        <v>89</v>
      </c>
      <c r="C53" s="28">
        <v>7982037</v>
      </c>
    </row>
    <row r="54" spans="1:3" x14ac:dyDescent="0.25">
      <c r="A54" s="4">
        <v>54</v>
      </c>
      <c r="B54" s="27" t="s">
        <v>50</v>
      </c>
      <c r="C54" s="28">
        <v>63460471</v>
      </c>
    </row>
    <row r="55" spans="1:3" x14ac:dyDescent="0.25">
      <c r="A55" s="4">
        <v>55</v>
      </c>
      <c r="B55" s="27" t="s">
        <v>90</v>
      </c>
      <c r="C55" s="28">
        <v>1096182507</v>
      </c>
    </row>
    <row r="56" spans="1:3" x14ac:dyDescent="0.25">
      <c r="A56" s="4">
        <v>56</v>
      </c>
      <c r="B56" s="27" t="s">
        <v>267</v>
      </c>
      <c r="C56" s="28"/>
    </row>
    <row r="57" spans="1:3" x14ac:dyDescent="0.25">
      <c r="A57" s="4">
        <v>57</v>
      </c>
      <c r="B57" s="27" t="s">
        <v>252</v>
      </c>
      <c r="C57" s="28"/>
    </row>
    <row r="58" spans="1:3" x14ac:dyDescent="0.25">
      <c r="A58" s="4">
        <v>58</v>
      </c>
      <c r="B58" s="27" t="s">
        <v>146</v>
      </c>
      <c r="C58" s="28"/>
    </row>
    <row r="59" spans="1:3" x14ac:dyDescent="0.25">
      <c r="A59" s="4">
        <v>59</v>
      </c>
      <c r="B59" s="27" t="s">
        <v>103</v>
      </c>
      <c r="C59" s="28">
        <v>5123049</v>
      </c>
    </row>
    <row r="60" spans="1:3" x14ac:dyDescent="0.25">
      <c r="A60" s="4">
        <v>60</v>
      </c>
      <c r="B60" s="27" t="s">
        <v>51</v>
      </c>
      <c r="C60" s="28">
        <v>60413531</v>
      </c>
    </row>
    <row r="61" spans="1:3" x14ac:dyDescent="0.25">
      <c r="A61" s="4">
        <v>61</v>
      </c>
      <c r="B61" s="27" t="s">
        <v>56</v>
      </c>
      <c r="C61" s="28">
        <v>1050543916</v>
      </c>
    </row>
    <row r="62" spans="1:3" ht="15.75" x14ac:dyDescent="0.25">
      <c r="A62" s="4">
        <v>62</v>
      </c>
      <c r="B62" s="31" t="s">
        <v>35</v>
      </c>
      <c r="C62" s="32">
        <v>1019104565</v>
      </c>
    </row>
    <row r="63" spans="1:3" x14ac:dyDescent="0.25">
      <c r="A63" s="4">
        <v>63</v>
      </c>
      <c r="B63" s="27" t="s">
        <v>52</v>
      </c>
      <c r="C63" s="28">
        <v>1007640487</v>
      </c>
    </row>
    <row r="64" spans="1:3" x14ac:dyDescent="0.25">
      <c r="A64" s="4">
        <v>64</v>
      </c>
      <c r="B64" s="27" t="s">
        <v>243</v>
      </c>
      <c r="C64" s="28">
        <v>9115707</v>
      </c>
    </row>
    <row r="65" spans="1:3" x14ac:dyDescent="0.25">
      <c r="A65" s="4">
        <v>65</v>
      </c>
      <c r="B65" s="27" t="s">
        <v>245</v>
      </c>
      <c r="C65" s="28">
        <v>23148157</v>
      </c>
    </row>
    <row r="66" spans="1:3" x14ac:dyDescent="0.25">
      <c r="A66" s="4">
        <v>66</v>
      </c>
      <c r="B66" s="27" t="s">
        <v>246</v>
      </c>
      <c r="C66" s="28">
        <v>23148157</v>
      </c>
    </row>
    <row r="67" spans="1:3" x14ac:dyDescent="0.25">
      <c r="A67" s="4">
        <v>67</v>
      </c>
      <c r="B67" s="27" t="s">
        <v>53</v>
      </c>
      <c r="C67" s="28">
        <v>363536902</v>
      </c>
    </row>
    <row r="68" spans="1:3" x14ac:dyDescent="0.25">
      <c r="A68" s="4">
        <v>68</v>
      </c>
      <c r="B68" s="27" t="s">
        <v>54</v>
      </c>
      <c r="C68" s="28">
        <v>72244699</v>
      </c>
    </row>
    <row r="69" spans="1:3" x14ac:dyDescent="0.25">
      <c r="A69" s="4">
        <v>69</v>
      </c>
      <c r="B69" s="27" t="s">
        <v>55</v>
      </c>
      <c r="C69" s="28">
        <v>3982623</v>
      </c>
    </row>
    <row r="70" spans="1:3" x14ac:dyDescent="0.25">
      <c r="A70" s="4">
        <v>70</v>
      </c>
      <c r="B70" s="27" t="s">
        <v>71</v>
      </c>
      <c r="C70" s="28">
        <v>1050920384</v>
      </c>
    </row>
    <row r="71" spans="1:3" x14ac:dyDescent="0.25">
      <c r="A71" s="4">
        <v>71</v>
      </c>
      <c r="B71" s="27" t="s">
        <v>60</v>
      </c>
      <c r="C71" s="28">
        <v>39275553</v>
      </c>
    </row>
    <row r="72" spans="1:3" x14ac:dyDescent="0.25">
      <c r="A72" s="4">
        <v>72</v>
      </c>
      <c r="B72" s="27" t="s">
        <v>59</v>
      </c>
      <c r="C72" s="28">
        <v>1049290733</v>
      </c>
    </row>
    <row r="73" spans="1:3" x14ac:dyDescent="0.25">
      <c r="A73" s="4">
        <v>73</v>
      </c>
      <c r="B73" s="27" t="s">
        <v>72</v>
      </c>
      <c r="C73" s="28"/>
    </row>
    <row r="74" spans="1:3" x14ac:dyDescent="0.25">
      <c r="A74" s="4">
        <v>74</v>
      </c>
      <c r="B74" s="27" t="s">
        <v>57</v>
      </c>
      <c r="C74" s="28">
        <v>20855997</v>
      </c>
    </row>
    <row r="75" spans="1:3" x14ac:dyDescent="0.25">
      <c r="A75" s="4">
        <v>75</v>
      </c>
      <c r="B75" s="27" t="s">
        <v>211</v>
      </c>
      <c r="C75" s="28">
        <v>1049290922</v>
      </c>
    </row>
    <row r="76" spans="1:3" x14ac:dyDescent="0.25">
      <c r="A76" s="4">
        <v>76</v>
      </c>
      <c r="B76" s="27" t="s">
        <v>73</v>
      </c>
      <c r="C76" s="28">
        <v>13565272</v>
      </c>
    </row>
    <row r="77" spans="1:3" x14ac:dyDescent="0.25">
      <c r="A77" s="4">
        <v>77</v>
      </c>
      <c r="B77" s="27" t="s">
        <v>58</v>
      </c>
      <c r="C77" s="28">
        <v>1002295309</v>
      </c>
    </row>
    <row r="78" spans="1:3" x14ac:dyDescent="0.25">
      <c r="A78" s="4">
        <v>78</v>
      </c>
      <c r="B78" s="27" t="s">
        <v>74</v>
      </c>
      <c r="C78" s="28">
        <v>1050919263</v>
      </c>
    </row>
    <row r="79" spans="1:3" x14ac:dyDescent="0.25">
      <c r="A79" s="4">
        <v>79</v>
      </c>
      <c r="B79" s="27" t="s">
        <v>147</v>
      </c>
      <c r="C79" s="29"/>
    </row>
    <row r="80" spans="1:3" x14ac:dyDescent="0.25">
      <c r="A80" s="4">
        <v>80</v>
      </c>
      <c r="B80" s="27" t="s">
        <v>148</v>
      </c>
      <c r="C80" s="29"/>
    </row>
    <row r="81" spans="1:3" x14ac:dyDescent="0.25">
      <c r="A81" s="4">
        <v>81</v>
      </c>
      <c r="B81" s="27" t="s">
        <v>149</v>
      </c>
      <c r="C81" s="28">
        <v>63540315</v>
      </c>
    </row>
    <row r="82" spans="1:3" x14ac:dyDescent="0.25">
      <c r="A82" s="4">
        <v>82</v>
      </c>
      <c r="B82" s="27" t="s">
        <v>68</v>
      </c>
      <c r="C82" s="28">
        <v>1049291131</v>
      </c>
    </row>
    <row r="83" spans="1:3" x14ac:dyDescent="0.25">
      <c r="A83" s="4">
        <v>83</v>
      </c>
      <c r="B83" s="27" t="s">
        <v>69</v>
      </c>
      <c r="C83" s="28">
        <v>23151643</v>
      </c>
    </row>
    <row r="84" spans="1:3" x14ac:dyDescent="0.25">
      <c r="A84" s="4">
        <v>84</v>
      </c>
      <c r="B84" s="27" t="s">
        <v>64</v>
      </c>
      <c r="C84" s="28">
        <v>23148767</v>
      </c>
    </row>
    <row r="85" spans="1:3" x14ac:dyDescent="0.25">
      <c r="A85" s="4">
        <v>85</v>
      </c>
      <c r="B85" s="27" t="s">
        <v>49</v>
      </c>
      <c r="C85" s="28">
        <v>23148762</v>
      </c>
    </row>
    <row r="86" spans="1:3" x14ac:dyDescent="0.25">
      <c r="A86" s="4">
        <v>86</v>
      </c>
      <c r="B86" s="27" t="s">
        <v>48</v>
      </c>
      <c r="C86" s="28">
        <v>1002298169</v>
      </c>
    </row>
    <row r="87" spans="1:3" x14ac:dyDescent="0.25">
      <c r="A87" s="4">
        <v>87</v>
      </c>
      <c r="B87" s="27" t="s">
        <v>67</v>
      </c>
      <c r="C87" s="28">
        <v>10991284</v>
      </c>
    </row>
    <row r="88" spans="1:3" x14ac:dyDescent="0.25">
      <c r="A88" s="4">
        <v>88</v>
      </c>
      <c r="B88" s="27" t="s">
        <v>150</v>
      </c>
      <c r="C88" s="29"/>
    </row>
    <row r="89" spans="1:3" x14ac:dyDescent="0.25">
      <c r="A89" s="4">
        <v>89</v>
      </c>
      <c r="B89" s="27" t="s">
        <v>151</v>
      </c>
      <c r="C89" s="29"/>
    </row>
    <row r="90" spans="1:3" x14ac:dyDescent="0.25">
      <c r="A90" s="4">
        <v>90</v>
      </c>
      <c r="B90" s="27" t="s">
        <v>61</v>
      </c>
      <c r="C90" s="28">
        <v>3985692</v>
      </c>
    </row>
    <row r="91" spans="1:3" x14ac:dyDescent="0.25">
      <c r="A91" s="4">
        <v>91</v>
      </c>
      <c r="B91" s="27" t="s">
        <v>152</v>
      </c>
      <c r="C91" s="29"/>
    </row>
    <row r="92" spans="1:3" x14ac:dyDescent="0.25">
      <c r="A92" s="4">
        <v>92</v>
      </c>
      <c r="B92" s="27" t="s">
        <v>47</v>
      </c>
      <c r="C92" s="28">
        <v>3984700</v>
      </c>
    </row>
    <row r="93" spans="1:3" x14ac:dyDescent="0.25">
      <c r="A93" s="4">
        <v>93</v>
      </c>
      <c r="B93" s="27" t="s">
        <v>78</v>
      </c>
      <c r="C93" s="28">
        <v>1050919046</v>
      </c>
    </row>
    <row r="94" spans="1:3" x14ac:dyDescent="0.25">
      <c r="A94" s="4">
        <v>94</v>
      </c>
      <c r="B94" s="27" t="s">
        <v>153</v>
      </c>
      <c r="C94" s="28">
        <v>3981270</v>
      </c>
    </row>
    <row r="95" spans="1:3" x14ac:dyDescent="0.25">
      <c r="A95" s="4">
        <v>95</v>
      </c>
      <c r="B95" s="27" t="s">
        <v>79</v>
      </c>
      <c r="C95" s="28">
        <v>3983234</v>
      </c>
    </row>
    <row r="96" spans="1:3" x14ac:dyDescent="0.25">
      <c r="A96" s="4">
        <v>96</v>
      </c>
      <c r="B96" s="27" t="s">
        <v>70</v>
      </c>
      <c r="C96" s="28">
        <v>4944297</v>
      </c>
    </row>
    <row r="97" spans="1:3" x14ac:dyDescent="0.25">
      <c r="A97" s="4">
        <v>97</v>
      </c>
      <c r="B97" s="27" t="s">
        <v>80</v>
      </c>
      <c r="C97" s="28">
        <v>3443066</v>
      </c>
    </row>
    <row r="98" spans="1:3" x14ac:dyDescent="0.25">
      <c r="A98" s="4">
        <v>98</v>
      </c>
      <c r="B98" s="27" t="s">
        <v>154</v>
      </c>
      <c r="C98" s="29"/>
    </row>
    <row r="99" spans="1:3" x14ac:dyDescent="0.25">
      <c r="A99" s="4">
        <v>99</v>
      </c>
      <c r="B99" s="27" t="s">
        <v>81</v>
      </c>
      <c r="C99" s="28">
        <v>1050920336</v>
      </c>
    </row>
    <row r="100" spans="1:3" x14ac:dyDescent="0.25">
      <c r="A100" s="4">
        <v>100</v>
      </c>
      <c r="B100" s="27" t="s">
        <v>104</v>
      </c>
      <c r="C100" s="28">
        <v>30783184</v>
      </c>
    </row>
    <row r="101" spans="1:3" x14ac:dyDescent="0.25">
      <c r="A101" s="4">
        <v>101</v>
      </c>
      <c r="B101" s="27" t="s">
        <v>269</v>
      </c>
      <c r="C101" s="28">
        <v>30783184</v>
      </c>
    </row>
    <row r="102" spans="1:3" x14ac:dyDescent="0.25">
      <c r="A102" s="4">
        <v>102</v>
      </c>
      <c r="B102" s="27" t="s">
        <v>77</v>
      </c>
      <c r="C102" s="28">
        <v>7982190</v>
      </c>
    </row>
    <row r="103" spans="1:3" x14ac:dyDescent="0.25">
      <c r="A103" s="4">
        <v>103</v>
      </c>
      <c r="B103" s="27" t="s">
        <v>266</v>
      </c>
      <c r="C103" s="28"/>
    </row>
    <row r="104" spans="1:3" x14ac:dyDescent="0.25">
      <c r="A104" s="4">
        <v>104</v>
      </c>
      <c r="B104" s="27" t="s">
        <v>75</v>
      </c>
      <c r="C104" s="28">
        <v>2763953</v>
      </c>
    </row>
    <row r="105" spans="1:3" x14ac:dyDescent="0.25">
      <c r="A105" s="4">
        <v>105</v>
      </c>
      <c r="B105" s="27" t="s">
        <v>276</v>
      </c>
      <c r="C105" s="28">
        <v>23151952</v>
      </c>
    </row>
    <row r="106" spans="1:3" x14ac:dyDescent="0.25">
      <c r="A106" s="4">
        <v>106</v>
      </c>
      <c r="B106" s="27" t="s">
        <v>105</v>
      </c>
      <c r="C106" s="28">
        <v>23151952</v>
      </c>
    </row>
    <row r="107" spans="1:3" x14ac:dyDescent="0.25">
      <c r="A107" s="4">
        <v>107</v>
      </c>
      <c r="B107" s="27" t="s">
        <v>66</v>
      </c>
      <c r="C107" s="28">
        <v>1016925786</v>
      </c>
    </row>
    <row r="108" spans="1:3" x14ac:dyDescent="0.25">
      <c r="A108" s="4">
        <v>108</v>
      </c>
      <c r="B108" s="27" t="s">
        <v>76</v>
      </c>
      <c r="C108" s="28">
        <v>23151423</v>
      </c>
    </row>
    <row r="109" spans="1:3" x14ac:dyDescent="0.25">
      <c r="A109" s="4">
        <v>109</v>
      </c>
      <c r="B109" s="27" t="s">
        <v>62</v>
      </c>
      <c r="C109" s="28">
        <v>32005647</v>
      </c>
    </row>
    <row r="110" spans="1:3" x14ac:dyDescent="0.25">
      <c r="A110" s="4">
        <v>110</v>
      </c>
      <c r="B110" s="27" t="s">
        <v>65</v>
      </c>
      <c r="C110" s="28">
        <v>28484278</v>
      </c>
    </row>
    <row r="111" spans="1:3" x14ac:dyDescent="0.25">
      <c r="A111" s="4">
        <v>111</v>
      </c>
      <c r="B111" s="27" t="s">
        <v>63</v>
      </c>
      <c r="C111" s="28">
        <v>3982644</v>
      </c>
    </row>
    <row r="112" spans="1:3" x14ac:dyDescent="0.25">
      <c r="A112" s="4">
        <v>112</v>
      </c>
      <c r="B112" s="27" t="s">
        <v>86</v>
      </c>
      <c r="C112" s="28">
        <v>30783147</v>
      </c>
    </row>
    <row r="113" spans="1:3" x14ac:dyDescent="0.25">
      <c r="A113" s="4">
        <v>113</v>
      </c>
      <c r="B113" s="27" t="s">
        <v>87</v>
      </c>
      <c r="C113" s="28">
        <v>3980693</v>
      </c>
    </row>
    <row r="114" spans="1:3" x14ac:dyDescent="0.25">
      <c r="A114" s="4">
        <v>114</v>
      </c>
      <c r="B114" s="27" t="s">
        <v>33</v>
      </c>
      <c r="C114" s="28">
        <v>23151382</v>
      </c>
    </row>
  </sheetData>
  <mergeCells count="1">
    <mergeCell ref="E1:H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293F8-68E7-44DE-957B-5A65F6EC9E4A}">
  <sheetPr codeName="Hoja1"/>
  <dimension ref="A1:AM123"/>
  <sheetViews>
    <sheetView tabSelected="1" zoomScale="150" zoomScaleNormal="15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5" x14ac:dyDescent="0.25"/>
  <cols>
    <col min="1" max="1" width="6.42578125" style="203" customWidth="1"/>
    <col min="2" max="2" width="26.140625" style="192" customWidth="1"/>
    <col min="3" max="3" width="19.7109375" style="192" customWidth="1"/>
    <col min="4" max="4" width="17.7109375" style="192" customWidth="1"/>
    <col min="5" max="5" width="15.7109375" style="192" customWidth="1"/>
    <col min="6" max="6" width="20.5703125" style="197" customWidth="1"/>
    <col min="7" max="7" width="17.140625" style="192" customWidth="1"/>
    <col min="8" max="8" width="15.7109375" style="199" customWidth="1"/>
    <col min="9" max="11" width="17.140625" style="192" customWidth="1"/>
    <col min="12" max="12" width="18.7109375" style="192" customWidth="1"/>
    <col min="13" max="13" width="13.7109375" style="200" customWidth="1"/>
    <col min="14" max="14" width="21.7109375" style="200" customWidth="1"/>
    <col min="15" max="15" width="13.140625" style="200" customWidth="1"/>
    <col min="16" max="16" width="14.5703125" style="200" customWidth="1"/>
    <col min="17" max="17" width="18.85546875" style="200" customWidth="1"/>
    <col min="18" max="18" width="19.28515625" style="200" customWidth="1"/>
    <col min="19" max="19" width="29.7109375" style="200" customWidth="1"/>
    <col min="20" max="20" width="16.28515625" style="192" customWidth="1"/>
    <col min="21" max="32" width="11.42578125" style="192" customWidth="1"/>
    <col min="33" max="33" width="1.85546875" style="202" customWidth="1"/>
    <col min="34" max="38" width="17.42578125" style="192" customWidth="1"/>
    <col min="39" max="16384" width="11.42578125" style="192"/>
  </cols>
  <sheetData>
    <row r="1" spans="1:39" ht="29.25" customHeight="1" x14ac:dyDescent="0.4">
      <c r="A1" s="44"/>
      <c r="B1" s="44"/>
      <c r="C1" s="44"/>
      <c r="D1" s="44"/>
      <c r="E1" s="45" t="s">
        <v>335</v>
      </c>
      <c r="F1" s="50">
        <f>SUM(F3:F120)</f>
        <v>5345665.2</v>
      </c>
      <c r="G1" s="144">
        <f>COUNTA(G3:G120)</f>
        <v>113</v>
      </c>
      <c r="H1"/>
      <c r="I1"/>
      <c r="J1" s="1" t="s">
        <v>350</v>
      </c>
      <c r="K1" s="143">
        <f>SUM(K3:K120)</f>
        <v>38055497</v>
      </c>
      <c r="L1" s="49">
        <f>SUM(L3:L120)</f>
        <v>1494.4659999999999</v>
      </c>
      <c r="M1"/>
      <c r="N1" s="48">
        <f>SUM(N3:N120)</f>
        <v>1600281</v>
      </c>
      <c r="O1"/>
      <c r="P1" s="52">
        <f>SUM(P3:P120)</f>
        <v>631700</v>
      </c>
      <c r="Q1" s="46">
        <f>SUM(Q3:Q120)</f>
        <v>2231981</v>
      </c>
      <c r="R1" s="47">
        <f>SUM(R3:R120)</f>
        <v>0</v>
      </c>
      <c r="S1" s="54">
        <f>SUM(S3:S120)</f>
        <v>0</v>
      </c>
      <c r="T1" s="16">
        <f>SUM(T3:T120)</f>
        <v>7577646.2000000002</v>
      </c>
      <c r="U1" s="212" t="s">
        <v>355</v>
      </c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190"/>
      <c r="AH1" s="191">
        <f>SUM(AH3:AH120)</f>
        <v>2584951.9</v>
      </c>
      <c r="AI1" s="191">
        <f>SUM(AI3:AI120)</f>
        <v>17380144.499999993</v>
      </c>
      <c r="AJ1" s="191">
        <f>SUM(AJ3:AJ120)</f>
        <v>19965096.399999995</v>
      </c>
      <c r="AK1" s="191">
        <f>SUM(AK3:AK120)</f>
        <v>12387450.199999999</v>
      </c>
      <c r="AL1" s="191">
        <f>SUM(AL3:AL120)</f>
        <v>7577646.2000000002</v>
      </c>
    </row>
    <row r="2" spans="1:39" x14ac:dyDescent="0.25">
      <c r="A2" s="43" t="s">
        <v>27</v>
      </c>
      <c r="B2" s="43" t="s">
        <v>2</v>
      </c>
      <c r="C2" s="43" t="s">
        <v>30</v>
      </c>
      <c r="D2" s="43" t="s">
        <v>0</v>
      </c>
      <c r="E2" s="43" t="s">
        <v>1</v>
      </c>
      <c r="F2" s="5" t="s">
        <v>29</v>
      </c>
      <c r="G2" s="5" t="s">
        <v>28</v>
      </c>
      <c r="H2" s="35" t="s">
        <v>128</v>
      </c>
      <c r="I2" s="5" t="s">
        <v>4</v>
      </c>
      <c r="J2" s="5" t="s">
        <v>106</v>
      </c>
      <c r="K2" s="5" t="s">
        <v>107</v>
      </c>
      <c r="L2" s="14" t="s">
        <v>20</v>
      </c>
      <c r="M2" s="5" t="s">
        <v>23</v>
      </c>
      <c r="N2" s="5" t="s">
        <v>24</v>
      </c>
      <c r="O2" s="5" t="s">
        <v>16</v>
      </c>
      <c r="P2" s="5" t="s">
        <v>336</v>
      </c>
      <c r="Q2" s="5" t="s">
        <v>6</v>
      </c>
      <c r="R2" s="5" t="s">
        <v>7</v>
      </c>
      <c r="S2" s="5" t="s">
        <v>8</v>
      </c>
      <c r="T2" s="20" t="s">
        <v>129</v>
      </c>
      <c r="U2" s="10" t="s">
        <v>123</v>
      </c>
      <c r="V2" s="10" t="s">
        <v>111</v>
      </c>
      <c r="W2" s="10" t="s">
        <v>112</v>
      </c>
      <c r="X2" s="10" t="s">
        <v>113</v>
      </c>
      <c r="Y2" s="10" t="s">
        <v>115</v>
      </c>
      <c r="Z2" s="10" t="s">
        <v>116</v>
      </c>
      <c r="AA2" s="10" t="s">
        <v>117</v>
      </c>
      <c r="AB2" s="10" t="s">
        <v>118</v>
      </c>
      <c r="AC2" s="10" t="s">
        <v>119</v>
      </c>
      <c r="AD2" s="10" t="s">
        <v>120</v>
      </c>
      <c r="AE2" s="10" t="s">
        <v>121</v>
      </c>
      <c r="AF2" s="159" t="s">
        <v>122</v>
      </c>
      <c r="AG2" s="185"/>
      <c r="AH2" s="180" t="s">
        <v>356</v>
      </c>
      <c r="AI2" s="178" t="s">
        <v>351</v>
      </c>
      <c r="AJ2" s="179" t="s">
        <v>357</v>
      </c>
      <c r="AK2" s="165" t="s">
        <v>354</v>
      </c>
      <c r="AL2" s="164" t="s">
        <v>360</v>
      </c>
    </row>
    <row r="3" spans="1:39" x14ac:dyDescent="0.25">
      <c r="A3" s="4">
        <v>1</v>
      </c>
      <c r="B3" s="27" t="s">
        <v>130</v>
      </c>
      <c r="C3" s="28">
        <v>49658251</v>
      </c>
      <c r="D3" s="6" t="s">
        <v>157</v>
      </c>
      <c r="E3" s="2"/>
      <c r="F3" s="51">
        <v>65146.7</v>
      </c>
      <c r="G3" s="6" t="s">
        <v>370</v>
      </c>
      <c r="H3" s="18">
        <v>45908</v>
      </c>
      <c r="I3" s="2" t="s">
        <v>118</v>
      </c>
      <c r="J3" s="2">
        <v>421704</v>
      </c>
      <c r="K3" s="2">
        <v>434982</v>
      </c>
      <c r="L3" s="7">
        <f t="shared" ref="L3:L37" si="0">(K3-J3)/1000</f>
        <v>13.278</v>
      </c>
      <c r="M3" s="15">
        <v>1000</v>
      </c>
      <c r="N3" s="17">
        <f>L3*M3</f>
        <v>13278</v>
      </c>
      <c r="O3" s="15"/>
      <c r="P3" s="15">
        <v>7000</v>
      </c>
      <c r="Q3" s="17">
        <f>N3+P3-O3</f>
        <v>20278</v>
      </c>
      <c r="R3" s="15"/>
      <c r="S3" s="15"/>
      <c r="T3" s="17">
        <f>F3+Q3-S3</f>
        <v>85424.7</v>
      </c>
      <c r="U3" s="34">
        <v>22023.4</v>
      </c>
      <c r="V3" s="34">
        <v>22558.9</v>
      </c>
      <c r="W3" s="34">
        <v>23219</v>
      </c>
      <c r="X3" s="15">
        <v>20418.300000000003</v>
      </c>
      <c r="Y3" s="15">
        <v>23224</v>
      </c>
      <c r="Z3" s="15">
        <v>23846</v>
      </c>
      <c r="AA3" s="15">
        <v>29841</v>
      </c>
      <c r="AB3" s="15">
        <v>20278</v>
      </c>
      <c r="AC3" s="15"/>
      <c r="AD3" s="15"/>
      <c r="AE3" s="15"/>
      <c r="AF3" s="160"/>
      <c r="AG3" s="186"/>
      <c r="AH3" s="181">
        <v>16.099999999991269</v>
      </c>
      <c r="AI3" s="15">
        <f t="shared" ref="AI3:AI36" si="1">SUM(U3:AF3)</f>
        <v>185408.6</v>
      </c>
      <c r="AJ3" s="177">
        <f>AH3+AI3</f>
        <v>185424.7</v>
      </c>
      <c r="AK3" s="16">
        <f>AJ3-AL3</f>
        <v>100000.00000000001</v>
      </c>
      <c r="AL3" s="16">
        <f t="shared" ref="AL3:AL36" si="2">T3</f>
        <v>85424.7</v>
      </c>
      <c r="AM3" s="213" t="s">
        <v>359</v>
      </c>
    </row>
    <row r="4" spans="1:39" x14ac:dyDescent="0.25">
      <c r="A4" s="4">
        <v>2</v>
      </c>
      <c r="B4" s="27" t="s">
        <v>36</v>
      </c>
      <c r="C4" s="28">
        <v>1002295311</v>
      </c>
      <c r="D4" s="40" t="s">
        <v>258</v>
      </c>
      <c r="E4" s="2"/>
      <c r="F4" s="51">
        <v>4.2000000000116415</v>
      </c>
      <c r="G4" s="6" t="s">
        <v>371</v>
      </c>
      <c r="H4" s="18">
        <v>45908</v>
      </c>
      <c r="I4" s="2" t="s">
        <v>118</v>
      </c>
      <c r="J4" s="2">
        <v>297022</v>
      </c>
      <c r="K4" s="2">
        <v>311131</v>
      </c>
      <c r="L4" s="7">
        <f t="shared" si="0"/>
        <v>14.109</v>
      </c>
      <c r="M4" s="15">
        <v>1000</v>
      </c>
      <c r="N4" s="17">
        <f t="shared" ref="N4:N70" si="3">L4*M4</f>
        <v>14109</v>
      </c>
      <c r="O4" s="15"/>
      <c r="P4" s="15">
        <v>7000</v>
      </c>
      <c r="Q4" s="17">
        <f>N4+P4-O4</f>
        <v>21109</v>
      </c>
      <c r="R4" s="15"/>
      <c r="S4" s="15"/>
      <c r="T4" s="17">
        <f t="shared" ref="T4:T69" si="4">F4+Q4-S4</f>
        <v>21113.200000000012</v>
      </c>
      <c r="U4" s="15">
        <v>15108.8</v>
      </c>
      <c r="V4" s="34">
        <v>17732.400000000001</v>
      </c>
      <c r="W4" s="15">
        <v>15866.2</v>
      </c>
      <c r="X4" s="15">
        <v>16203.6</v>
      </c>
      <c r="Y4" s="15">
        <v>20226</v>
      </c>
      <c r="Z4" s="15">
        <v>19881</v>
      </c>
      <c r="AA4" s="15">
        <v>24885</v>
      </c>
      <c r="AB4" s="15">
        <v>21109</v>
      </c>
      <c r="AC4" s="15"/>
      <c r="AD4" s="15"/>
      <c r="AE4" s="15"/>
      <c r="AF4" s="160"/>
      <c r="AG4" s="186"/>
      <c r="AH4" s="181">
        <v>12601.200000000008</v>
      </c>
      <c r="AI4" s="15">
        <f t="shared" si="1"/>
        <v>151012</v>
      </c>
      <c r="AJ4" s="177">
        <f t="shared" ref="AJ4:AJ69" si="5">AH4+AI4</f>
        <v>163613.20000000001</v>
      </c>
      <c r="AK4" s="16">
        <f t="shared" ref="AK4:AK69" si="6">AJ4-AL4</f>
        <v>142500</v>
      </c>
      <c r="AL4" s="16">
        <f t="shared" si="2"/>
        <v>21113.200000000012</v>
      </c>
      <c r="AM4" s="213"/>
    </row>
    <row r="5" spans="1:39" s="193" customFormat="1" x14ac:dyDescent="0.25">
      <c r="A5" s="167">
        <v>3</v>
      </c>
      <c r="B5" s="66" t="s">
        <v>37</v>
      </c>
      <c r="C5" s="138">
        <v>1050924260</v>
      </c>
      <c r="D5" s="139">
        <v>220106655</v>
      </c>
      <c r="E5" s="137"/>
      <c r="F5" s="140">
        <v>66000</v>
      </c>
      <c r="G5" s="6" t="s">
        <v>372</v>
      </c>
      <c r="H5" s="18">
        <v>45908</v>
      </c>
      <c r="I5" s="2" t="s">
        <v>118</v>
      </c>
      <c r="J5" s="137">
        <v>2914</v>
      </c>
      <c r="K5" s="137">
        <v>2914</v>
      </c>
      <c r="L5" s="168">
        <f t="shared" si="0"/>
        <v>0</v>
      </c>
      <c r="M5" s="15">
        <v>1000</v>
      </c>
      <c r="N5" s="170">
        <v>10000</v>
      </c>
      <c r="O5" s="169"/>
      <c r="P5" s="169">
        <v>7000</v>
      </c>
      <c r="Q5" s="170">
        <f>N5+P5-O5</f>
        <v>17000</v>
      </c>
      <c r="R5" s="169"/>
      <c r="S5" s="169"/>
      <c r="T5" s="170">
        <f t="shared" si="4"/>
        <v>83000</v>
      </c>
      <c r="U5" s="169">
        <v>15000</v>
      </c>
      <c r="V5" s="171">
        <v>15000</v>
      </c>
      <c r="W5" s="169">
        <v>15000</v>
      </c>
      <c r="X5" s="169">
        <v>15000</v>
      </c>
      <c r="Y5" s="169">
        <v>17000</v>
      </c>
      <c r="Z5" s="169">
        <v>17000</v>
      </c>
      <c r="AA5" s="169">
        <v>17000</v>
      </c>
      <c r="AB5" s="169">
        <v>17000</v>
      </c>
      <c r="AC5" s="169"/>
      <c r="AD5" s="169"/>
      <c r="AE5" s="169"/>
      <c r="AF5" s="172"/>
      <c r="AG5" s="187"/>
      <c r="AH5" s="182">
        <v>0</v>
      </c>
      <c r="AI5" s="169">
        <f t="shared" si="1"/>
        <v>128000</v>
      </c>
      <c r="AJ5" s="206">
        <f t="shared" si="5"/>
        <v>128000</v>
      </c>
      <c r="AK5" s="173">
        <f t="shared" si="6"/>
        <v>45000</v>
      </c>
      <c r="AL5" s="173">
        <f t="shared" si="2"/>
        <v>83000</v>
      </c>
      <c r="AM5" s="213"/>
    </row>
    <row r="6" spans="1:39" s="194" customFormat="1" x14ac:dyDescent="0.25">
      <c r="A6" s="163">
        <v>4</v>
      </c>
      <c r="B6" s="39" t="s">
        <v>34</v>
      </c>
      <c r="C6" s="57">
        <v>1050921430</v>
      </c>
      <c r="D6" s="40" t="s">
        <v>159</v>
      </c>
      <c r="E6" s="41"/>
      <c r="F6" s="58">
        <v>0.40000000000145519</v>
      </c>
      <c r="G6" s="6" t="s">
        <v>373</v>
      </c>
      <c r="H6" s="18">
        <v>45908</v>
      </c>
      <c r="I6" s="2" t="s">
        <v>118</v>
      </c>
      <c r="J6" s="41">
        <v>183914</v>
      </c>
      <c r="K6" s="41">
        <v>203963</v>
      </c>
      <c r="L6" s="156">
        <f t="shared" si="0"/>
        <v>20.048999999999999</v>
      </c>
      <c r="M6" s="15">
        <v>1000</v>
      </c>
      <c r="N6" s="158">
        <f t="shared" si="3"/>
        <v>20049</v>
      </c>
      <c r="O6" s="157"/>
      <c r="P6" s="157">
        <v>7000</v>
      </c>
      <c r="Q6" s="158">
        <f>N6+P6-O6</f>
        <v>27049</v>
      </c>
      <c r="R6" s="157"/>
      <c r="S6" s="157"/>
      <c r="T6" s="158">
        <f t="shared" si="4"/>
        <v>27049.4</v>
      </c>
      <c r="U6" s="157">
        <v>8000</v>
      </c>
      <c r="V6" s="34">
        <v>13857.900000000001</v>
      </c>
      <c r="W6" s="157">
        <v>13504.4</v>
      </c>
      <c r="X6" s="157">
        <v>15171.8</v>
      </c>
      <c r="Y6" s="157">
        <v>18188</v>
      </c>
      <c r="Z6" s="157">
        <v>17187</v>
      </c>
      <c r="AA6" s="157">
        <v>27413</v>
      </c>
      <c r="AB6" s="157">
        <v>27049</v>
      </c>
      <c r="AC6" s="157"/>
      <c r="AD6" s="157"/>
      <c r="AE6" s="157"/>
      <c r="AF6" s="162"/>
      <c r="AG6" s="188"/>
      <c r="AH6" s="183">
        <v>12078.300000000003</v>
      </c>
      <c r="AI6" s="157">
        <f t="shared" si="1"/>
        <v>140371.1</v>
      </c>
      <c r="AJ6" s="207">
        <f t="shared" si="5"/>
        <v>152449.40000000002</v>
      </c>
      <c r="AK6" s="174">
        <f t="shared" si="6"/>
        <v>125400.00000000003</v>
      </c>
      <c r="AL6" s="174">
        <f t="shared" si="2"/>
        <v>27049.4</v>
      </c>
      <c r="AM6" s="213"/>
    </row>
    <row r="7" spans="1:39" s="194" customFormat="1" x14ac:dyDescent="0.25">
      <c r="A7" s="163">
        <v>5</v>
      </c>
      <c r="B7" s="39" t="s">
        <v>482</v>
      </c>
      <c r="C7" s="57"/>
      <c r="D7" s="40" t="s">
        <v>205</v>
      </c>
      <c r="E7" s="41"/>
      <c r="F7" s="58"/>
      <c r="G7" s="40" t="s">
        <v>483</v>
      </c>
      <c r="H7" s="209">
        <v>45908</v>
      </c>
      <c r="I7" s="41" t="s">
        <v>118</v>
      </c>
      <c r="J7" s="41">
        <v>42747</v>
      </c>
      <c r="K7" s="41">
        <v>43633</v>
      </c>
      <c r="L7" s="156">
        <f t="shared" si="0"/>
        <v>0.88600000000000001</v>
      </c>
      <c r="M7" s="157">
        <v>1000</v>
      </c>
      <c r="N7" s="158">
        <v>3000</v>
      </c>
      <c r="O7" s="157"/>
      <c r="P7" s="157">
        <v>7000</v>
      </c>
      <c r="Q7" s="158">
        <f t="shared" ref="Q7" si="7">N7+P7-O7</f>
        <v>10000</v>
      </c>
      <c r="R7" s="157"/>
      <c r="S7" s="157"/>
      <c r="T7" s="158">
        <f t="shared" si="4"/>
        <v>10000</v>
      </c>
      <c r="U7" s="157">
        <v>2700</v>
      </c>
      <c r="V7" s="34">
        <v>0</v>
      </c>
      <c r="W7" s="157">
        <v>0</v>
      </c>
      <c r="X7" s="157">
        <v>0</v>
      </c>
      <c r="Y7" s="157">
        <v>0</v>
      </c>
      <c r="Z7" s="157">
        <v>0</v>
      </c>
      <c r="AA7" s="157">
        <v>0</v>
      </c>
      <c r="AB7" s="157">
        <v>10000</v>
      </c>
      <c r="AC7" s="157"/>
      <c r="AD7" s="157"/>
      <c r="AE7" s="157"/>
      <c r="AF7" s="162"/>
      <c r="AG7" s="188"/>
      <c r="AH7" s="183">
        <v>22000</v>
      </c>
      <c r="AI7" s="157">
        <f t="shared" ref="AI7" si="8">SUM(U7:AF7)</f>
        <v>12700</v>
      </c>
      <c r="AJ7" s="207">
        <f t="shared" si="5"/>
        <v>34700</v>
      </c>
      <c r="AK7" s="174">
        <f t="shared" si="6"/>
        <v>24700</v>
      </c>
      <c r="AL7" s="174">
        <f t="shared" si="2"/>
        <v>10000</v>
      </c>
      <c r="AM7" s="213"/>
    </row>
    <row r="8" spans="1:39" s="194" customFormat="1" x14ac:dyDescent="0.25">
      <c r="A8" s="4">
        <v>6</v>
      </c>
      <c r="B8" s="39" t="s">
        <v>362</v>
      </c>
      <c r="C8" s="57"/>
      <c r="D8" s="40"/>
      <c r="E8" s="41"/>
      <c r="F8" s="58">
        <v>10000</v>
      </c>
      <c r="G8" s="6" t="s">
        <v>374</v>
      </c>
      <c r="H8" s="18">
        <v>45908</v>
      </c>
      <c r="I8" s="2" t="s">
        <v>118</v>
      </c>
      <c r="J8" s="41"/>
      <c r="K8" s="41"/>
      <c r="L8" s="156">
        <f t="shared" si="0"/>
        <v>0</v>
      </c>
      <c r="M8" s="15">
        <v>1000</v>
      </c>
      <c r="N8" s="158">
        <v>12000</v>
      </c>
      <c r="O8" s="157"/>
      <c r="P8" s="157"/>
      <c r="Q8" s="158">
        <f>N8+P8-O8</f>
        <v>12000</v>
      </c>
      <c r="R8" s="157"/>
      <c r="S8" s="157"/>
      <c r="T8" s="158">
        <f t="shared" si="4"/>
        <v>22000</v>
      </c>
      <c r="U8" s="157"/>
      <c r="V8" s="34">
        <v>10000</v>
      </c>
      <c r="W8" s="157">
        <v>10000</v>
      </c>
      <c r="X8" s="157">
        <v>10000</v>
      </c>
      <c r="Y8" s="157">
        <v>12000</v>
      </c>
      <c r="Z8" s="157">
        <v>12000</v>
      </c>
      <c r="AA8" s="157">
        <v>12000</v>
      </c>
      <c r="AB8" s="157">
        <v>12000</v>
      </c>
      <c r="AC8" s="157"/>
      <c r="AD8" s="157"/>
      <c r="AE8" s="157"/>
      <c r="AF8" s="162"/>
      <c r="AG8" s="188"/>
      <c r="AH8" s="183"/>
      <c r="AI8" s="157">
        <f t="shared" si="1"/>
        <v>78000</v>
      </c>
      <c r="AJ8" s="177">
        <f t="shared" si="5"/>
        <v>78000</v>
      </c>
      <c r="AK8" s="16">
        <f t="shared" si="6"/>
        <v>56000</v>
      </c>
      <c r="AL8" s="16">
        <f t="shared" si="2"/>
        <v>22000</v>
      </c>
      <c r="AM8" s="213"/>
    </row>
    <row r="9" spans="1:39" s="195" customFormat="1" x14ac:dyDescent="0.25">
      <c r="A9" s="4">
        <v>7</v>
      </c>
      <c r="B9" s="42" t="s">
        <v>131</v>
      </c>
      <c r="C9" s="142"/>
      <c r="D9" s="33" t="s">
        <v>160</v>
      </c>
      <c r="E9" s="36"/>
      <c r="F9" s="56">
        <v>0</v>
      </c>
      <c r="G9" s="33"/>
      <c r="H9" s="18">
        <v>45908</v>
      </c>
      <c r="I9" s="2" t="s">
        <v>118</v>
      </c>
      <c r="J9" s="36">
        <v>19112</v>
      </c>
      <c r="K9" s="36">
        <v>19112</v>
      </c>
      <c r="L9" s="151">
        <f t="shared" si="0"/>
        <v>0</v>
      </c>
      <c r="M9" s="15">
        <v>1000</v>
      </c>
      <c r="N9" s="153">
        <f t="shared" si="3"/>
        <v>0</v>
      </c>
      <c r="O9" s="152"/>
      <c r="P9" s="152"/>
      <c r="Q9" s="153">
        <f t="shared" ref="Q9:Q70" si="9">N9+P9-O9</f>
        <v>0</v>
      </c>
      <c r="R9" s="152"/>
      <c r="S9" s="152"/>
      <c r="T9" s="153">
        <f t="shared" si="4"/>
        <v>0</v>
      </c>
      <c r="U9" s="152">
        <v>0</v>
      </c>
      <c r="V9" s="154">
        <v>0</v>
      </c>
      <c r="W9" s="152">
        <v>0</v>
      </c>
      <c r="X9" s="152">
        <v>0</v>
      </c>
      <c r="Y9" s="152">
        <v>0</v>
      </c>
      <c r="Z9" s="152">
        <v>0</v>
      </c>
      <c r="AA9" s="152">
        <v>0</v>
      </c>
      <c r="AB9" s="152">
        <v>0</v>
      </c>
      <c r="AC9" s="152"/>
      <c r="AD9" s="152"/>
      <c r="AE9" s="152"/>
      <c r="AF9" s="161"/>
      <c r="AG9" s="189"/>
      <c r="AH9" s="184">
        <v>0</v>
      </c>
      <c r="AI9" s="152">
        <f t="shared" si="1"/>
        <v>0</v>
      </c>
      <c r="AJ9" s="177">
        <f t="shared" si="5"/>
        <v>0</v>
      </c>
      <c r="AK9" s="16">
        <f t="shared" si="6"/>
        <v>0</v>
      </c>
      <c r="AL9" s="166">
        <f t="shared" si="2"/>
        <v>0</v>
      </c>
      <c r="AM9" s="213"/>
    </row>
    <row r="10" spans="1:39" x14ac:dyDescent="0.25">
      <c r="A10" s="167">
        <v>8</v>
      </c>
      <c r="B10" s="27" t="s">
        <v>299</v>
      </c>
      <c r="C10" s="28">
        <v>32007324</v>
      </c>
      <c r="D10" s="6" t="s">
        <v>161</v>
      </c>
      <c r="E10" s="2"/>
      <c r="F10" s="51">
        <v>94643.3</v>
      </c>
      <c r="G10" s="6" t="s">
        <v>375</v>
      </c>
      <c r="H10" s="18">
        <v>45908</v>
      </c>
      <c r="I10" s="2" t="s">
        <v>118</v>
      </c>
      <c r="J10" s="2">
        <v>701340</v>
      </c>
      <c r="K10" s="2">
        <v>718636</v>
      </c>
      <c r="L10" s="7">
        <f t="shared" si="0"/>
        <v>17.295999999999999</v>
      </c>
      <c r="M10" s="15">
        <v>1000</v>
      </c>
      <c r="N10" s="17">
        <f t="shared" si="3"/>
        <v>17296</v>
      </c>
      <c r="O10" s="15"/>
      <c r="P10" s="15">
        <v>7000</v>
      </c>
      <c r="Q10" s="17">
        <f t="shared" si="9"/>
        <v>24296</v>
      </c>
      <c r="R10" s="15"/>
      <c r="S10" s="15"/>
      <c r="T10" s="17">
        <f t="shared" si="4"/>
        <v>118939.3</v>
      </c>
      <c r="U10" s="15">
        <v>36331.4</v>
      </c>
      <c r="V10" s="34">
        <v>29085</v>
      </c>
      <c r="W10" s="15">
        <v>29251.599999999999</v>
      </c>
      <c r="X10" s="15">
        <v>34873.300000000003</v>
      </c>
      <c r="Y10" s="15">
        <v>33872</v>
      </c>
      <c r="Z10" s="15">
        <v>39423</v>
      </c>
      <c r="AA10" s="15">
        <v>55220</v>
      </c>
      <c r="AB10" s="15">
        <v>24296</v>
      </c>
      <c r="AC10" s="15"/>
      <c r="AD10" s="15"/>
      <c r="AE10" s="15"/>
      <c r="AF10" s="160"/>
      <c r="AG10" s="186"/>
      <c r="AH10" s="181">
        <v>19546</v>
      </c>
      <c r="AI10" s="15">
        <f t="shared" si="1"/>
        <v>282352.3</v>
      </c>
      <c r="AJ10" s="177">
        <f t="shared" si="5"/>
        <v>301898.3</v>
      </c>
      <c r="AK10" s="16">
        <f t="shared" si="6"/>
        <v>182959</v>
      </c>
      <c r="AL10" s="16">
        <f t="shared" si="2"/>
        <v>118939.3</v>
      </c>
      <c r="AM10" s="213"/>
    </row>
    <row r="11" spans="1:39" s="194" customFormat="1" x14ac:dyDescent="0.25">
      <c r="A11" s="163">
        <v>9</v>
      </c>
      <c r="B11" s="39" t="s">
        <v>300</v>
      </c>
      <c r="C11" s="57"/>
      <c r="D11" s="40" t="s">
        <v>261</v>
      </c>
      <c r="E11" s="41"/>
      <c r="F11" s="58">
        <v>17400</v>
      </c>
      <c r="G11" s="6" t="s">
        <v>376</v>
      </c>
      <c r="H11" s="18">
        <v>45908</v>
      </c>
      <c r="I11" s="2" t="s">
        <v>118</v>
      </c>
      <c r="J11" s="41">
        <v>8840</v>
      </c>
      <c r="K11" s="41">
        <v>9727</v>
      </c>
      <c r="L11" s="156">
        <f t="shared" si="0"/>
        <v>0.88700000000000001</v>
      </c>
      <c r="M11" s="15">
        <v>1000</v>
      </c>
      <c r="N11" s="158">
        <v>3000</v>
      </c>
      <c r="O11" s="157"/>
      <c r="P11" s="157">
        <v>1000</v>
      </c>
      <c r="Q11" s="158">
        <f t="shared" si="9"/>
        <v>4000</v>
      </c>
      <c r="R11" s="157"/>
      <c r="S11" s="157"/>
      <c r="T11" s="158">
        <f t="shared" si="4"/>
        <v>21400</v>
      </c>
      <c r="U11" s="157">
        <v>2700</v>
      </c>
      <c r="V11" s="34">
        <v>2700</v>
      </c>
      <c r="W11" s="34">
        <v>2700</v>
      </c>
      <c r="X11" s="34">
        <v>2700</v>
      </c>
      <c r="Y11" s="34">
        <v>4000</v>
      </c>
      <c r="Z11" s="34">
        <v>4000</v>
      </c>
      <c r="AA11" s="34">
        <v>4000</v>
      </c>
      <c r="AB11" s="34">
        <v>4000</v>
      </c>
      <c r="AC11" s="34"/>
      <c r="AD11" s="34"/>
      <c r="AE11" s="157"/>
      <c r="AF11" s="162"/>
      <c r="AG11" s="188"/>
      <c r="AH11" s="183">
        <v>22000</v>
      </c>
      <c r="AI11" s="157">
        <f t="shared" si="1"/>
        <v>26800</v>
      </c>
      <c r="AJ11" s="177">
        <f t="shared" si="5"/>
        <v>48800</v>
      </c>
      <c r="AK11" s="16">
        <f t="shared" si="6"/>
        <v>27400</v>
      </c>
      <c r="AL11" s="174">
        <f t="shared" si="2"/>
        <v>21400</v>
      </c>
      <c r="AM11" s="213"/>
    </row>
    <row r="12" spans="1:39" x14ac:dyDescent="0.25">
      <c r="A12" s="163">
        <v>10</v>
      </c>
      <c r="B12" s="27" t="s">
        <v>301</v>
      </c>
      <c r="C12" s="28">
        <v>1050924425</v>
      </c>
      <c r="D12" s="6" t="s">
        <v>158</v>
      </c>
      <c r="E12" s="2"/>
      <c r="F12" s="51">
        <v>-7.8000000000029104</v>
      </c>
      <c r="G12" s="6" t="s">
        <v>377</v>
      </c>
      <c r="H12" s="18">
        <v>45908</v>
      </c>
      <c r="I12" s="2" t="s">
        <v>118</v>
      </c>
      <c r="J12" s="2">
        <v>256338</v>
      </c>
      <c r="K12" s="2">
        <v>256338</v>
      </c>
      <c r="L12" s="7">
        <f t="shared" si="0"/>
        <v>0</v>
      </c>
      <c r="M12" s="15">
        <v>1000</v>
      </c>
      <c r="N12" s="17">
        <v>10000</v>
      </c>
      <c r="O12" s="15"/>
      <c r="P12" s="15">
        <v>7000</v>
      </c>
      <c r="Q12" s="17">
        <f t="shared" si="9"/>
        <v>17000</v>
      </c>
      <c r="R12" s="15"/>
      <c r="S12" s="15"/>
      <c r="T12" s="17">
        <f t="shared" si="4"/>
        <v>16992.199999999997</v>
      </c>
      <c r="U12" s="15">
        <v>11734.1</v>
      </c>
      <c r="V12" s="34">
        <v>14886.2</v>
      </c>
      <c r="W12" s="15">
        <v>15290.8</v>
      </c>
      <c r="X12" s="15">
        <v>18216.099999999999</v>
      </c>
      <c r="Y12" s="15">
        <v>24638</v>
      </c>
      <c r="Z12" s="15">
        <v>17000</v>
      </c>
      <c r="AA12" s="15">
        <v>17000</v>
      </c>
      <c r="AB12" s="15">
        <v>17000</v>
      </c>
      <c r="AC12" s="15"/>
      <c r="AD12" s="15"/>
      <c r="AE12" s="15"/>
      <c r="AF12" s="160"/>
      <c r="AG12" s="186"/>
      <c r="AH12" s="181">
        <v>-73.000000000005457</v>
      </c>
      <c r="AI12" s="15">
        <f t="shared" si="1"/>
        <v>135765.20000000001</v>
      </c>
      <c r="AJ12" s="177">
        <f t="shared" si="5"/>
        <v>135692.20000000001</v>
      </c>
      <c r="AK12" s="16">
        <f t="shared" si="6"/>
        <v>118700.00000000001</v>
      </c>
      <c r="AL12" s="16">
        <f t="shared" si="2"/>
        <v>16992.199999999997</v>
      </c>
      <c r="AM12" s="213"/>
    </row>
    <row r="13" spans="1:39" x14ac:dyDescent="0.25">
      <c r="A13" s="4">
        <v>11</v>
      </c>
      <c r="B13" s="27" t="s">
        <v>302</v>
      </c>
      <c r="C13" s="28">
        <v>37687223</v>
      </c>
      <c r="D13" s="6" t="s">
        <v>162</v>
      </c>
      <c r="E13" s="2"/>
      <c r="F13" s="51">
        <v>7.1999999999898137</v>
      </c>
      <c r="G13" s="6" t="s">
        <v>378</v>
      </c>
      <c r="H13" s="18">
        <v>45908</v>
      </c>
      <c r="I13" s="2" t="s">
        <v>118</v>
      </c>
      <c r="J13" s="2">
        <v>226849</v>
      </c>
      <c r="K13" s="2">
        <v>238681</v>
      </c>
      <c r="L13" s="7">
        <f t="shared" si="0"/>
        <v>11.832000000000001</v>
      </c>
      <c r="M13" s="15">
        <v>1000</v>
      </c>
      <c r="N13" s="17">
        <f t="shared" si="3"/>
        <v>11832</v>
      </c>
      <c r="O13" s="15"/>
      <c r="P13" s="15">
        <v>10000</v>
      </c>
      <c r="Q13" s="17">
        <f t="shared" si="9"/>
        <v>21832</v>
      </c>
      <c r="R13" s="15"/>
      <c r="S13" s="15"/>
      <c r="T13" s="17">
        <f t="shared" si="4"/>
        <v>21839.19999999999</v>
      </c>
      <c r="U13" s="15">
        <v>14923.8</v>
      </c>
      <c r="V13" s="34">
        <v>14251.8</v>
      </c>
      <c r="W13" s="15">
        <v>17097.3</v>
      </c>
      <c r="X13" s="15">
        <v>24410.199999999997</v>
      </c>
      <c r="Y13" s="15">
        <v>29376</v>
      </c>
      <c r="Z13" s="15">
        <v>29865</v>
      </c>
      <c r="AA13" s="15">
        <v>30417</v>
      </c>
      <c r="AB13" s="15">
        <v>21832</v>
      </c>
      <c r="AC13" s="15"/>
      <c r="AD13" s="15"/>
      <c r="AE13" s="15"/>
      <c r="AF13" s="160"/>
      <c r="AG13" s="186"/>
      <c r="AH13" s="181">
        <v>12866.099999999995</v>
      </c>
      <c r="AI13" s="15">
        <f t="shared" si="1"/>
        <v>182173.09999999998</v>
      </c>
      <c r="AJ13" s="177">
        <f t="shared" si="5"/>
        <v>195039.19999999998</v>
      </c>
      <c r="AK13" s="16">
        <f t="shared" si="6"/>
        <v>173200</v>
      </c>
      <c r="AL13" s="16">
        <f t="shared" si="2"/>
        <v>21839.19999999999</v>
      </c>
      <c r="AM13" s="213"/>
    </row>
    <row r="14" spans="1:39" x14ac:dyDescent="0.25">
      <c r="A14" s="4">
        <v>12</v>
      </c>
      <c r="B14" s="27" t="s">
        <v>303</v>
      </c>
      <c r="C14" s="28">
        <v>23151769</v>
      </c>
      <c r="D14" s="6" t="s">
        <v>259</v>
      </c>
      <c r="E14" s="2"/>
      <c r="F14" s="51">
        <v>-48.799999999988358</v>
      </c>
      <c r="G14" s="6" t="s">
        <v>379</v>
      </c>
      <c r="H14" s="18">
        <v>45908</v>
      </c>
      <c r="I14" s="2" t="s">
        <v>118</v>
      </c>
      <c r="J14" s="2">
        <v>435761</v>
      </c>
      <c r="K14" s="2">
        <v>452038</v>
      </c>
      <c r="L14" s="7">
        <f t="shared" si="0"/>
        <v>16.277000000000001</v>
      </c>
      <c r="M14" s="15">
        <v>1000</v>
      </c>
      <c r="N14" s="17">
        <f t="shared" si="3"/>
        <v>16277.000000000002</v>
      </c>
      <c r="O14" s="15"/>
      <c r="P14" s="15">
        <v>7000</v>
      </c>
      <c r="Q14" s="17">
        <f t="shared" si="9"/>
        <v>23277</v>
      </c>
      <c r="R14" s="15"/>
      <c r="S14" s="15"/>
      <c r="T14" s="17">
        <f t="shared" si="4"/>
        <v>23228.200000000012</v>
      </c>
      <c r="U14" s="15">
        <v>21942.2</v>
      </c>
      <c r="V14" s="34">
        <v>19294.099999999999</v>
      </c>
      <c r="W14" s="15">
        <v>17783.5</v>
      </c>
      <c r="X14" s="15">
        <v>19725.3</v>
      </c>
      <c r="Y14" s="15">
        <v>23262</v>
      </c>
      <c r="Z14" s="15">
        <v>23854</v>
      </c>
      <c r="AA14" s="15">
        <v>31307</v>
      </c>
      <c r="AB14" s="15">
        <v>23277</v>
      </c>
      <c r="AC14" s="15"/>
      <c r="AD14" s="15"/>
      <c r="AE14" s="15"/>
      <c r="AF14" s="160"/>
      <c r="AG14" s="186"/>
      <c r="AH14" s="181">
        <v>14683.100000000009</v>
      </c>
      <c r="AI14" s="15">
        <f t="shared" si="1"/>
        <v>180445.1</v>
      </c>
      <c r="AJ14" s="177">
        <f t="shared" si="5"/>
        <v>195128.2</v>
      </c>
      <c r="AK14" s="16">
        <f t="shared" si="6"/>
        <v>171900</v>
      </c>
      <c r="AL14" s="16">
        <f t="shared" si="2"/>
        <v>23228.200000000012</v>
      </c>
      <c r="AM14" s="213"/>
    </row>
    <row r="15" spans="1:39" s="194" customFormat="1" x14ac:dyDescent="0.25">
      <c r="A15" s="167">
        <v>13</v>
      </c>
      <c r="B15" s="39" t="s">
        <v>132</v>
      </c>
      <c r="C15" s="141"/>
      <c r="D15" s="40" t="s">
        <v>163</v>
      </c>
      <c r="E15" s="41"/>
      <c r="F15" s="58">
        <v>-543.19999999999891</v>
      </c>
      <c r="G15" s="6" t="s">
        <v>380</v>
      </c>
      <c r="H15" s="18">
        <v>45908</v>
      </c>
      <c r="I15" s="2" t="s">
        <v>118</v>
      </c>
      <c r="J15" s="41">
        <v>115193</v>
      </c>
      <c r="K15" s="41">
        <v>115193</v>
      </c>
      <c r="L15" s="156">
        <f t="shared" si="0"/>
        <v>0</v>
      </c>
      <c r="M15" s="15">
        <v>1000</v>
      </c>
      <c r="N15" s="17">
        <v>3000</v>
      </c>
      <c r="O15" s="157"/>
      <c r="P15" s="157">
        <v>1000</v>
      </c>
      <c r="Q15" s="158">
        <f t="shared" si="9"/>
        <v>4000</v>
      </c>
      <c r="R15" s="157"/>
      <c r="S15" s="157"/>
      <c r="T15" s="158">
        <f t="shared" si="4"/>
        <v>3456.8000000000011</v>
      </c>
      <c r="U15" s="157">
        <v>9700</v>
      </c>
      <c r="V15" s="34">
        <v>9700</v>
      </c>
      <c r="W15" s="157">
        <v>2700</v>
      </c>
      <c r="X15" s="157">
        <v>4950.3999999999996</v>
      </c>
      <c r="Y15" s="157">
        <v>7565</v>
      </c>
      <c r="Z15" s="157">
        <v>4831</v>
      </c>
      <c r="AA15" s="157">
        <v>3367</v>
      </c>
      <c r="AB15" s="157">
        <v>4000</v>
      </c>
      <c r="AC15" s="157"/>
      <c r="AD15" s="157"/>
      <c r="AE15" s="157"/>
      <c r="AF15" s="162"/>
      <c r="AG15" s="188"/>
      <c r="AH15" s="183">
        <v>25143.4</v>
      </c>
      <c r="AI15" s="157">
        <f t="shared" si="1"/>
        <v>46813.4</v>
      </c>
      <c r="AJ15" s="177">
        <f t="shared" si="5"/>
        <v>71956.800000000003</v>
      </c>
      <c r="AK15" s="16">
        <f t="shared" si="6"/>
        <v>68500</v>
      </c>
      <c r="AL15" s="16">
        <f t="shared" si="2"/>
        <v>3456.8000000000011</v>
      </c>
      <c r="AM15" s="213"/>
    </row>
    <row r="16" spans="1:39" x14ac:dyDescent="0.25">
      <c r="A16" s="163">
        <v>14</v>
      </c>
      <c r="B16" s="27" t="s">
        <v>31</v>
      </c>
      <c r="C16" s="28">
        <v>1003249258</v>
      </c>
      <c r="D16" s="6" t="s">
        <v>164</v>
      </c>
      <c r="E16" s="2"/>
      <c r="F16" s="51">
        <v>-107.29999999998836</v>
      </c>
      <c r="G16" s="6" t="s">
        <v>381</v>
      </c>
      <c r="H16" s="18">
        <v>45908</v>
      </c>
      <c r="I16" s="2" t="s">
        <v>118</v>
      </c>
      <c r="J16" s="2">
        <v>679076</v>
      </c>
      <c r="K16" s="2">
        <v>702492</v>
      </c>
      <c r="L16" s="7">
        <f t="shared" si="0"/>
        <v>23.416</v>
      </c>
      <c r="M16" s="15">
        <v>1000</v>
      </c>
      <c r="N16" s="17">
        <f t="shared" si="3"/>
        <v>23416</v>
      </c>
      <c r="O16" s="15"/>
      <c r="P16" s="15">
        <v>7000</v>
      </c>
      <c r="Q16" s="17">
        <f t="shared" si="9"/>
        <v>30416</v>
      </c>
      <c r="R16" s="15"/>
      <c r="S16" s="15"/>
      <c r="T16" s="17">
        <f t="shared" si="4"/>
        <v>30308.700000000012</v>
      </c>
      <c r="U16" s="15">
        <v>29454.600000000002</v>
      </c>
      <c r="V16" s="34">
        <v>27217.4</v>
      </c>
      <c r="W16" s="15">
        <v>20656.300000000003</v>
      </c>
      <c r="X16" s="15">
        <v>29248.799999999999</v>
      </c>
      <c r="Y16" s="15">
        <v>29676</v>
      </c>
      <c r="Z16" s="15">
        <v>30441</v>
      </c>
      <c r="AA16" s="15">
        <v>43271</v>
      </c>
      <c r="AB16" s="15">
        <v>30416</v>
      </c>
      <c r="AC16" s="15"/>
      <c r="AD16" s="15"/>
      <c r="AE16" s="15"/>
      <c r="AF16" s="160"/>
      <c r="AG16" s="186"/>
      <c r="AH16" s="181">
        <v>52914.599999999991</v>
      </c>
      <c r="AI16" s="15">
        <f t="shared" si="1"/>
        <v>240381.1</v>
      </c>
      <c r="AJ16" s="177">
        <f t="shared" si="5"/>
        <v>293295.7</v>
      </c>
      <c r="AK16" s="16">
        <f t="shared" si="6"/>
        <v>262987</v>
      </c>
      <c r="AL16" s="16">
        <f t="shared" si="2"/>
        <v>30308.700000000012</v>
      </c>
      <c r="AM16" s="213"/>
    </row>
    <row r="17" spans="1:39" x14ac:dyDescent="0.25">
      <c r="A17" s="163">
        <v>15</v>
      </c>
      <c r="B17" s="27" t="s">
        <v>95</v>
      </c>
      <c r="C17" s="28">
        <v>23151039</v>
      </c>
      <c r="D17" s="6" t="s">
        <v>165</v>
      </c>
      <c r="E17" s="2"/>
      <c r="F17" s="51">
        <v>118072.80000000002</v>
      </c>
      <c r="G17" s="6" t="s">
        <v>382</v>
      </c>
      <c r="H17" s="18">
        <v>45908</v>
      </c>
      <c r="I17" s="2" t="s">
        <v>118</v>
      </c>
      <c r="J17" s="2">
        <v>724350</v>
      </c>
      <c r="K17" s="2">
        <v>748276</v>
      </c>
      <c r="L17" s="7">
        <f t="shared" si="0"/>
        <v>23.925999999999998</v>
      </c>
      <c r="M17" s="15">
        <v>1000</v>
      </c>
      <c r="N17" s="17">
        <f t="shared" si="3"/>
        <v>23926</v>
      </c>
      <c r="O17" s="15"/>
      <c r="P17" s="15">
        <v>7000</v>
      </c>
      <c r="Q17" s="17">
        <f t="shared" si="9"/>
        <v>30926</v>
      </c>
      <c r="R17" s="15"/>
      <c r="S17" s="15"/>
      <c r="T17" s="17">
        <f t="shared" si="4"/>
        <v>148998.80000000002</v>
      </c>
      <c r="U17" s="15">
        <v>29073.8</v>
      </c>
      <c r="V17" s="34">
        <v>28051.800000000003</v>
      </c>
      <c r="W17" s="15">
        <v>21502.6</v>
      </c>
      <c r="X17" s="15">
        <v>27596.1</v>
      </c>
      <c r="Y17" s="15">
        <v>37282</v>
      </c>
      <c r="Z17" s="15">
        <v>37239</v>
      </c>
      <c r="AA17" s="15">
        <v>39803</v>
      </c>
      <c r="AB17" s="15">
        <v>30926</v>
      </c>
      <c r="AC17" s="15"/>
      <c r="AD17" s="15"/>
      <c r="AE17" s="15"/>
      <c r="AF17" s="160"/>
      <c r="AG17" s="186"/>
      <c r="AH17" s="181">
        <v>57524.5</v>
      </c>
      <c r="AI17" s="15">
        <f t="shared" si="1"/>
        <v>251474.30000000002</v>
      </c>
      <c r="AJ17" s="177">
        <f t="shared" si="5"/>
        <v>308998.80000000005</v>
      </c>
      <c r="AK17" s="16">
        <f t="shared" si="6"/>
        <v>160000.00000000003</v>
      </c>
      <c r="AL17" s="16">
        <f t="shared" si="2"/>
        <v>148998.80000000002</v>
      </c>
      <c r="AM17" s="213"/>
    </row>
    <row r="18" spans="1:39" s="194" customFormat="1" x14ac:dyDescent="0.25">
      <c r="A18" s="167">
        <v>16</v>
      </c>
      <c r="B18" s="39" t="s">
        <v>94</v>
      </c>
      <c r="C18" s="57">
        <v>28310566</v>
      </c>
      <c r="D18" s="40" t="s">
        <v>166</v>
      </c>
      <c r="E18" s="41"/>
      <c r="F18" s="58">
        <v>3999.6000000000004</v>
      </c>
      <c r="G18" s="6" t="s">
        <v>383</v>
      </c>
      <c r="H18" s="18">
        <v>45908</v>
      </c>
      <c r="I18" s="2" t="s">
        <v>118</v>
      </c>
      <c r="J18" s="41">
        <v>65442</v>
      </c>
      <c r="K18" s="41">
        <v>65765</v>
      </c>
      <c r="L18" s="156">
        <f t="shared" si="0"/>
        <v>0.32300000000000001</v>
      </c>
      <c r="M18" s="15">
        <v>1000</v>
      </c>
      <c r="N18" s="158">
        <v>3000</v>
      </c>
      <c r="O18" s="157"/>
      <c r="P18" s="157">
        <v>1000</v>
      </c>
      <c r="Q18" s="158">
        <f t="shared" si="9"/>
        <v>4000</v>
      </c>
      <c r="R18" s="157"/>
      <c r="S18" s="157"/>
      <c r="T18" s="158">
        <f t="shared" si="4"/>
        <v>7999.6</v>
      </c>
      <c r="U18" s="157">
        <v>2700</v>
      </c>
      <c r="V18" s="34">
        <v>2700</v>
      </c>
      <c r="W18" s="157">
        <v>2700</v>
      </c>
      <c r="X18" s="157">
        <v>2700</v>
      </c>
      <c r="Y18" s="157">
        <v>4000</v>
      </c>
      <c r="Z18" s="157">
        <v>4000</v>
      </c>
      <c r="AA18" s="157">
        <v>4000</v>
      </c>
      <c r="AB18" s="157">
        <v>4000</v>
      </c>
      <c r="AC18" s="157"/>
      <c r="AD18" s="157"/>
      <c r="AE18" s="157"/>
      <c r="AF18" s="162"/>
      <c r="AG18" s="188"/>
      <c r="AH18" s="183">
        <v>12439.6</v>
      </c>
      <c r="AI18" s="157">
        <f t="shared" si="1"/>
        <v>26800</v>
      </c>
      <c r="AJ18" s="177">
        <f t="shared" si="5"/>
        <v>39239.599999999999</v>
      </c>
      <c r="AK18" s="16">
        <f t="shared" si="6"/>
        <v>31240</v>
      </c>
      <c r="AL18" s="174">
        <f t="shared" si="2"/>
        <v>7999.6</v>
      </c>
      <c r="AM18" s="213"/>
    </row>
    <row r="19" spans="1:39" s="193" customFormat="1" x14ac:dyDescent="0.25">
      <c r="A19" s="4">
        <v>17</v>
      </c>
      <c r="B19" s="66" t="s">
        <v>102</v>
      </c>
      <c r="C19" s="138">
        <v>1065892267</v>
      </c>
      <c r="D19" s="139" t="s">
        <v>167</v>
      </c>
      <c r="E19" s="137"/>
      <c r="F19" s="140">
        <v>0</v>
      </c>
      <c r="G19" s="6" t="s">
        <v>384</v>
      </c>
      <c r="H19" s="18">
        <v>45908</v>
      </c>
      <c r="I19" s="2" t="s">
        <v>118</v>
      </c>
      <c r="J19" s="137">
        <v>502</v>
      </c>
      <c r="K19" s="137">
        <v>502</v>
      </c>
      <c r="L19" s="168">
        <f t="shared" si="0"/>
        <v>0</v>
      </c>
      <c r="M19" s="15">
        <v>1000</v>
      </c>
      <c r="N19" s="170">
        <v>3000</v>
      </c>
      <c r="O19" s="169"/>
      <c r="P19" s="169">
        <v>11000</v>
      </c>
      <c r="Q19" s="170">
        <f t="shared" si="9"/>
        <v>14000</v>
      </c>
      <c r="R19" s="169"/>
      <c r="S19" s="169"/>
      <c r="T19" s="170">
        <f t="shared" si="4"/>
        <v>14000</v>
      </c>
      <c r="U19" s="169">
        <v>12700</v>
      </c>
      <c r="V19" s="171">
        <v>12700</v>
      </c>
      <c r="W19" s="169">
        <v>12700</v>
      </c>
      <c r="X19" s="169">
        <v>12700</v>
      </c>
      <c r="Y19" s="169">
        <v>14000</v>
      </c>
      <c r="Z19" s="169">
        <v>14000</v>
      </c>
      <c r="AA19" s="169">
        <v>14000</v>
      </c>
      <c r="AB19" s="169">
        <v>14000</v>
      </c>
      <c r="AC19" s="169"/>
      <c r="AD19" s="169"/>
      <c r="AE19" s="169"/>
      <c r="AF19" s="172"/>
      <c r="AG19" s="187"/>
      <c r="AH19" s="182">
        <v>0</v>
      </c>
      <c r="AI19" s="169">
        <f t="shared" si="1"/>
        <v>106800</v>
      </c>
      <c r="AJ19" s="206">
        <f t="shared" si="5"/>
        <v>106800</v>
      </c>
      <c r="AK19" s="173">
        <f t="shared" si="6"/>
        <v>92800</v>
      </c>
      <c r="AL19" s="173">
        <f t="shared" si="2"/>
        <v>14000</v>
      </c>
      <c r="AM19" s="213"/>
    </row>
    <row r="20" spans="1:39" x14ac:dyDescent="0.25">
      <c r="A20" s="167">
        <v>18</v>
      </c>
      <c r="B20" s="39" t="s">
        <v>257</v>
      </c>
      <c r="C20" s="57">
        <v>23148213</v>
      </c>
      <c r="D20" s="40" t="s">
        <v>168</v>
      </c>
      <c r="E20" s="41"/>
      <c r="F20" s="58">
        <v>1</v>
      </c>
      <c r="G20" s="6" t="s">
        <v>385</v>
      </c>
      <c r="H20" s="18">
        <v>45908</v>
      </c>
      <c r="I20" s="2" t="s">
        <v>118</v>
      </c>
      <c r="J20" s="41">
        <v>115391</v>
      </c>
      <c r="K20" s="41">
        <v>116600</v>
      </c>
      <c r="L20" s="7">
        <f t="shared" si="0"/>
        <v>1.2090000000000001</v>
      </c>
      <c r="M20" s="15">
        <v>1000</v>
      </c>
      <c r="N20" s="17">
        <v>3000</v>
      </c>
      <c r="O20" s="15"/>
      <c r="P20" s="15">
        <v>7000</v>
      </c>
      <c r="Q20" s="17">
        <f t="shared" si="9"/>
        <v>10000</v>
      </c>
      <c r="R20" s="15"/>
      <c r="S20" s="15"/>
      <c r="T20" s="17">
        <f t="shared" si="4"/>
        <v>10001</v>
      </c>
      <c r="U20" s="15">
        <v>9700</v>
      </c>
      <c r="V20" s="34">
        <v>9700</v>
      </c>
      <c r="W20" s="15">
        <v>9700</v>
      </c>
      <c r="X20" s="15">
        <v>9700</v>
      </c>
      <c r="Y20" s="15">
        <v>11000</v>
      </c>
      <c r="Z20" s="15">
        <v>18888</v>
      </c>
      <c r="AA20" s="15">
        <v>15713</v>
      </c>
      <c r="AB20" s="15">
        <v>10000</v>
      </c>
      <c r="AC20" s="15"/>
      <c r="AD20" s="15"/>
      <c r="AE20" s="15"/>
      <c r="AF20" s="160"/>
      <c r="AG20" s="186"/>
      <c r="AH20" s="181">
        <v>-55</v>
      </c>
      <c r="AI20" s="15">
        <f t="shared" si="1"/>
        <v>94401</v>
      </c>
      <c r="AJ20" s="177">
        <f t="shared" si="5"/>
        <v>94346</v>
      </c>
      <c r="AK20" s="16">
        <f t="shared" si="6"/>
        <v>84345</v>
      </c>
      <c r="AL20" s="16">
        <f t="shared" si="2"/>
        <v>10001</v>
      </c>
      <c r="AM20" s="213"/>
    </row>
    <row r="21" spans="1:39" s="193" customFormat="1" x14ac:dyDescent="0.25">
      <c r="A21" s="163">
        <v>19</v>
      </c>
      <c r="B21" s="66" t="s">
        <v>98</v>
      </c>
      <c r="C21" s="138">
        <v>23151144</v>
      </c>
      <c r="D21" s="139" t="s">
        <v>169</v>
      </c>
      <c r="E21" s="137"/>
      <c r="F21" s="140">
        <v>-226.79999999999927</v>
      </c>
      <c r="G21" s="6" t="s">
        <v>386</v>
      </c>
      <c r="H21" s="18">
        <v>45908</v>
      </c>
      <c r="I21" s="2" t="s">
        <v>118</v>
      </c>
      <c r="J21" s="137">
        <v>60077</v>
      </c>
      <c r="K21" s="137">
        <v>63115</v>
      </c>
      <c r="L21" s="168">
        <f t="shared" si="0"/>
        <v>3.0379999999999998</v>
      </c>
      <c r="M21" s="15">
        <v>1000</v>
      </c>
      <c r="N21" s="170">
        <v>3000</v>
      </c>
      <c r="O21" s="169"/>
      <c r="P21" s="169">
        <v>8000</v>
      </c>
      <c r="Q21" s="170">
        <f t="shared" si="9"/>
        <v>11000</v>
      </c>
      <c r="R21" s="169"/>
      <c r="S21" s="169"/>
      <c r="T21" s="170">
        <f t="shared" si="4"/>
        <v>10773.2</v>
      </c>
      <c r="U21" s="169">
        <v>9700</v>
      </c>
      <c r="V21" s="171">
        <v>9700</v>
      </c>
      <c r="W21" s="169">
        <v>9984.1</v>
      </c>
      <c r="X21" s="169">
        <v>9802.1</v>
      </c>
      <c r="Y21" s="169">
        <v>11000</v>
      </c>
      <c r="Z21" s="169">
        <v>11000</v>
      </c>
      <c r="AA21" s="169">
        <v>11000</v>
      </c>
      <c r="AB21" s="169">
        <v>11000</v>
      </c>
      <c r="AC21" s="169"/>
      <c r="AD21" s="169"/>
      <c r="AE21" s="169"/>
      <c r="AF21" s="172"/>
      <c r="AG21" s="187"/>
      <c r="AH21" s="182">
        <v>-213</v>
      </c>
      <c r="AI21" s="169">
        <f t="shared" si="1"/>
        <v>83186.2</v>
      </c>
      <c r="AJ21" s="206">
        <f t="shared" si="5"/>
        <v>82973.2</v>
      </c>
      <c r="AK21" s="173">
        <f t="shared" si="6"/>
        <v>72200</v>
      </c>
      <c r="AL21" s="173">
        <f t="shared" si="2"/>
        <v>10773.2</v>
      </c>
    </row>
    <row r="22" spans="1:39" x14ac:dyDescent="0.25">
      <c r="A22" s="163">
        <v>20</v>
      </c>
      <c r="B22" s="27" t="s">
        <v>133</v>
      </c>
      <c r="C22" s="28">
        <v>23151128</v>
      </c>
      <c r="D22" s="6" t="s">
        <v>170</v>
      </c>
      <c r="E22" s="2"/>
      <c r="F22" s="51">
        <v>32449.5</v>
      </c>
      <c r="G22" s="6" t="s">
        <v>387</v>
      </c>
      <c r="H22" s="18">
        <v>45908</v>
      </c>
      <c r="I22" s="2" t="s">
        <v>118</v>
      </c>
      <c r="J22" s="2">
        <v>575256</v>
      </c>
      <c r="K22" s="2">
        <v>594380</v>
      </c>
      <c r="L22" s="7">
        <f t="shared" si="0"/>
        <v>19.123999999999999</v>
      </c>
      <c r="M22" s="15">
        <v>1000</v>
      </c>
      <c r="N22" s="17">
        <f t="shared" si="3"/>
        <v>19124</v>
      </c>
      <c r="O22" s="15"/>
      <c r="P22" s="15">
        <v>7000</v>
      </c>
      <c r="Q22" s="17">
        <f t="shared" si="9"/>
        <v>26124</v>
      </c>
      <c r="R22" s="15"/>
      <c r="S22" s="15"/>
      <c r="T22" s="17">
        <f t="shared" si="4"/>
        <v>58573.5</v>
      </c>
      <c r="U22" s="15">
        <v>24105.200000000001</v>
      </c>
      <c r="V22" s="34">
        <v>27580.7</v>
      </c>
      <c r="W22" s="15">
        <v>25630.5</v>
      </c>
      <c r="X22" s="15">
        <v>24367</v>
      </c>
      <c r="Y22" s="15">
        <v>22561</v>
      </c>
      <c r="Z22" s="15">
        <v>18631</v>
      </c>
      <c r="AA22" s="15">
        <v>32315</v>
      </c>
      <c r="AB22" s="15">
        <v>26124</v>
      </c>
      <c r="AC22" s="15"/>
      <c r="AD22" s="15"/>
      <c r="AE22" s="15"/>
      <c r="AF22" s="160"/>
      <c r="AG22" s="186"/>
      <c r="AH22" s="181">
        <v>14659.099999999999</v>
      </c>
      <c r="AI22" s="15">
        <f t="shared" si="1"/>
        <v>201314.4</v>
      </c>
      <c r="AJ22" s="177">
        <f t="shared" si="5"/>
        <v>215973.5</v>
      </c>
      <c r="AK22" s="16">
        <f t="shared" si="6"/>
        <v>157400</v>
      </c>
      <c r="AL22" s="16">
        <f t="shared" si="2"/>
        <v>58573.5</v>
      </c>
    </row>
    <row r="23" spans="1:39" x14ac:dyDescent="0.25">
      <c r="A23" s="4">
        <v>21</v>
      </c>
      <c r="B23" s="27" t="s">
        <v>97</v>
      </c>
      <c r="C23" s="28">
        <v>23148165</v>
      </c>
      <c r="D23" s="6" t="s">
        <v>171</v>
      </c>
      <c r="E23" s="2"/>
      <c r="F23" s="51">
        <v>-9891</v>
      </c>
      <c r="G23" s="6" t="s">
        <v>388</v>
      </c>
      <c r="H23" s="18">
        <v>45908</v>
      </c>
      <c r="I23" s="2" t="s">
        <v>118</v>
      </c>
      <c r="J23" s="2">
        <v>752212</v>
      </c>
      <c r="K23" s="2">
        <v>776504</v>
      </c>
      <c r="L23" s="7">
        <f t="shared" si="0"/>
        <v>24.292000000000002</v>
      </c>
      <c r="M23" s="15">
        <v>1000</v>
      </c>
      <c r="N23" s="17">
        <f t="shared" si="3"/>
        <v>24292</v>
      </c>
      <c r="O23" s="15"/>
      <c r="P23" s="15">
        <v>7000</v>
      </c>
      <c r="Q23" s="17">
        <f t="shared" si="9"/>
        <v>31292</v>
      </c>
      <c r="R23" s="15"/>
      <c r="S23" s="15"/>
      <c r="T23" s="17">
        <f t="shared" si="4"/>
        <v>21401</v>
      </c>
      <c r="U23" s="15">
        <v>24674.3</v>
      </c>
      <c r="V23" s="34">
        <v>27825</v>
      </c>
      <c r="W23" s="15">
        <v>29881.600000000002</v>
      </c>
      <c r="X23" s="15">
        <v>31459.4</v>
      </c>
      <c r="Y23" s="15">
        <v>45456</v>
      </c>
      <c r="Z23" s="15">
        <v>33057</v>
      </c>
      <c r="AA23" s="15">
        <v>50307</v>
      </c>
      <c r="AB23" s="15">
        <v>31292</v>
      </c>
      <c r="AC23" s="15"/>
      <c r="AD23" s="15"/>
      <c r="AE23" s="15"/>
      <c r="AF23" s="160"/>
      <c r="AG23" s="186"/>
      <c r="AH23" s="181">
        <v>32748.699999999997</v>
      </c>
      <c r="AI23" s="15">
        <f t="shared" si="1"/>
        <v>273952.30000000005</v>
      </c>
      <c r="AJ23" s="177">
        <f t="shared" si="5"/>
        <v>306701.00000000006</v>
      </c>
      <c r="AK23" s="16">
        <f t="shared" si="6"/>
        <v>285300.00000000006</v>
      </c>
      <c r="AL23" s="16">
        <f t="shared" si="2"/>
        <v>21401</v>
      </c>
    </row>
    <row r="24" spans="1:39" s="194" customFormat="1" x14ac:dyDescent="0.25">
      <c r="A24" s="4">
        <v>22</v>
      </c>
      <c r="B24" s="39" t="s">
        <v>134</v>
      </c>
      <c r="C24" s="57">
        <v>45508106</v>
      </c>
      <c r="D24" s="40" t="s">
        <v>172</v>
      </c>
      <c r="E24" s="41"/>
      <c r="F24" s="58">
        <v>65320.200000000012</v>
      </c>
      <c r="G24" s="6" t="s">
        <v>389</v>
      </c>
      <c r="H24" s="18">
        <v>45908</v>
      </c>
      <c r="I24" s="2" t="s">
        <v>118</v>
      </c>
      <c r="J24" s="41">
        <v>219208</v>
      </c>
      <c r="K24" s="41">
        <v>228300</v>
      </c>
      <c r="L24" s="156">
        <f t="shared" si="0"/>
        <v>9.0920000000000005</v>
      </c>
      <c r="M24" s="15">
        <v>1000</v>
      </c>
      <c r="N24" s="158">
        <f t="shared" si="3"/>
        <v>9092</v>
      </c>
      <c r="O24" s="157"/>
      <c r="P24" s="157">
        <v>7000</v>
      </c>
      <c r="Q24" s="158">
        <f t="shared" si="9"/>
        <v>16092</v>
      </c>
      <c r="R24" s="157"/>
      <c r="S24" s="157"/>
      <c r="T24" s="158">
        <f t="shared" si="4"/>
        <v>81412.200000000012</v>
      </c>
      <c r="U24" s="157">
        <v>14447.3</v>
      </c>
      <c r="V24" s="34">
        <v>14401.1</v>
      </c>
      <c r="W24" s="157">
        <v>14020.3</v>
      </c>
      <c r="X24" s="157">
        <v>15229.9</v>
      </c>
      <c r="Y24" s="157">
        <v>20107</v>
      </c>
      <c r="Z24" s="157">
        <v>17389</v>
      </c>
      <c r="AA24" s="157">
        <v>19791</v>
      </c>
      <c r="AB24" s="157">
        <v>16092</v>
      </c>
      <c r="AC24" s="157"/>
      <c r="AD24" s="157"/>
      <c r="AE24" s="157"/>
      <c r="AF24" s="162"/>
      <c r="AG24" s="188"/>
      <c r="AH24" s="183">
        <v>49934.600000000006</v>
      </c>
      <c r="AI24" s="157">
        <f t="shared" si="1"/>
        <v>131477.6</v>
      </c>
      <c r="AJ24" s="177">
        <f t="shared" si="5"/>
        <v>181412.2</v>
      </c>
      <c r="AK24" s="16">
        <f t="shared" si="6"/>
        <v>100000</v>
      </c>
      <c r="AL24" s="174">
        <f t="shared" si="2"/>
        <v>81412.200000000012</v>
      </c>
    </row>
    <row r="25" spans="1:39" x14ac:dyDescent="0.25">
      <c r="A25" s="167">
        <v>23</v>
      </c>
      <c r="B25" s="27" t="s">
        <v>156</v>
      </c>
      <c r="C25" s="28">
        <v>3980795</v>
      </c>
      <c r="D25" s="6" t="s">
        <v>255</v>
      </c>
      <c r="E25" s="2"/>
      <c r="F25" s="51">
        <v>-65</v>
      </c>
      <c r="G25" s="6" t="s">
        <v>390</v>
      </c>
      <c r="H25" s="18">
        <v>45908</v>
      </c>
      <c r="I25" s="2" t="s">
        <v>118</v>
      </c>
      <c r="J25" s="2">
        <v>199740</v>
      </c>
      <c r="K25" s="2">
        <v>205160</v>
      </c>
      <c r="L25" s="7">
        <f t="shared" si="0"/>
        <v>5.42</v>
      </c>
      <c r="M25" s="15">
        <v>1000</v>
      </c>
      <c r="N25" s="17">
        <f t="shared" si="3"/>
        <v>5420</v>
      </c>
      <c r="O25" s="15"/>
      <c r="P25" s="15">
        <v>7000</v>
      </c>
      <c r="Q25" s="17">
        <f t="shared" si="9"/>
        <v>12420</v>
      </c>
      <c r="R25" s="15"/>
      <c r="S25" s="15"/>
      <c r="T25" s="17">
        <f t="shared" si="4"/>
        <v>12355</v>
      </c>
      <c r="U25" s="15">
        <v>13349</v>
      </c>
      <c r="V25" s="34">
        <v>12509</v>
      </c>
      <c r="W25" s="15">
        <v>11088</v>
      </c>
      <c r="X25" s="15">
        <v>12453</v>
      </c>
      <c r="Y25" s="15">
        <v>12760</v>
      </c>
      <c r="Z25" s="15">
        <v>8860</v>
      </c>
      <c r="AA25" s="15">
        <v>18130</v>
      </c>
      <c r="AB25" s="15">
        <v>12420</v>
      </c>
      <c r="AC25" s="15"/>
      <c r="AD25" s="15"/>
      <c r="AE25" s="15"/>
      <c r="AF25" s="160"/>
      <c r="AG25" s="186"/>
      <c r="AH25" s="181">
        <v>-94</v>
      </c>
      <c r="AI25" s="15">
        <f t="shared" si="1"/>
        <v>101569</v>
      </c>
      <c r="AJ25" s="177">
        <f t="shared" si="5"/>
        <v>101475</v>
      </c>
      <c r="AK25" s="16">
        <f t="shared" si="6"/>
        <v>89120</v>
      </c>
      <c r="AL25" s="16">
        <f t="shared" si="2"/>
        <v>12355</v>
      </c>
    </row>
    <row r="26" spans="1:39" s="194" customFormat="1" x14ac:dyDescent="0.25">
      <c r="A26" s="163">
        <v>24</v>
      </c>
      <c r="B26" s="39" t="s">
        <v>304</v>
      </c>
      <c r="C26" s="57">
        <v>23147623</v>
      </c>
      <c r="D26" s="40" t="s">
        <v>256</v>
      </c>
      <c r="E26" s="41"/>
      <c r="F26" s="58">
        <v>14460</v>
      </c>
      <c r="G26" s="6" t="s">
        <v>391</v>
      </c>
      <c r="H26" s="18">
        <v>45908</v>
      </c>
      <c r="I26" s="2" t="s">
        <v>118</v>
      </c>
      <c r="J26" s="41">
        <v>122800</v>
      </c>
      <c r="K26" s="41">
        <v>130060</v>
      </c>
      <c r="L26" s="156">
        <f t="shared" si="0"/>
        <v>7.26</v>
      </c>
      <c r="M26" s="15">
        <v>1000</v>
      </c>
      <c r="N26" s="17">
        <f t="shared" si="3"/>
        <v>7260</v>
      </c>
      <c r="O26" s="157"/>
      <c r="P26" s="157"/>
      <c r="Q26" s="158">
        <f t="shared" si="9"/>
        <v>7260</v>
      </c>
      <c r="R26" s="157"/>
      <c r="S26" s="157"/>
      <c r="T26" s="158">
        <f t="shared" si="4"/>
        <v>21720</v>
      </c>
      <c r="U26" s="157">
        <v>3171</v>
      </c>
      <c r="V26" s="34">
        <v>4312</v>
      </c>
      <c r="W26" s="157">
        <v>2177</v>
      </c>
      <c r="X26" s="157">
        <v>3731</v>
      </c>
      <c r="Y26" s="157">
        <v>3630</v>
      </c>
      <c r="Z26" s="157">
        <v>14900</v>
      </c>
      <c r="AA26" s="157">
        <v>14480</v>
      </c>
      <c r="AB26" s="157">
        <v>7260</v>
      </c>
      <c r="AC26" s="157"/>
      <c r="AD26" s="157"/>
      <c r="AE26" s="157"/>
      <c r="AF26" s="162"/>
      <c r="AG26" s="188"/>
      <c r="AH26" s="183">
        <v>-11</v>
      </c>
      <c r="AI26" s="157">
        <f t="shared" si="1"/>
        <v>53661</v>
      </c>
      <c r="AJ26" s="177">
        <f t="shared" si="5"/>
        <v>53650</v>
      </c>
      <c r="AK26" s="16">
        <f t="shared" si="6"/>
        <v>31930</v>
      </c>
      <c r="AL26" s="174">
        <f t="shared" si="2"/>
        <v>21720</v>
      </c>
    </row>
    <row r="27" spans="1:39" x14ac:dyDescent="0.25">
      <c r="A27" s="163">
        <v>25</v>
      </c>
      <c r="B27" s="27" t="s">
        <v>366</v>
      </c>
      <c r="C27" s="28">
        <v>23146827</v>
      </c>
      <c r="D27" s="6" t="s">
        <v>173</v>
      </c>
      <c r="E27" s="2"/>
      <c r="F27" s="51">
        <v>29.900000000001455</v>
      </c>
      <c r="G27" s="6" t="s">
        <v>392</v>
      </c>
      <c r="H27" s="18">
        <v>45908</v>
      </c>
      <c r="I27" s="2" t="s">
        <v>118</v>
      </c>
      <c r="J27" s="2">
        <v>141588</v>
      </c>
      <c r="K27" s="2">
        <v>145905</v>
      </c>
      <c r="L27" s="7">
        <f t="shared" si="0"/>
        <v>4.3170000000000002</v>
      </c>
      <c r="M27" s="15">
        <v>1000</v>
      </c>
      <c r="N27" s="17">
        <f t="shared" si="3"/>
        <v>4317</v>
      </c>
      <c r="O27" s="15"/>
      <c r="P27" s="15">
        <v>1000</v>
      </c>
      <c r="Q27" s="17">
        <f t="shared" si="9"/>
        <v>5317</v>
      </c>
      <c r="R27" s="15"/>
      <c r="S27" s="15"/>
      <c r="T27" s="17">
        <f t="shared" si="4"/>
        <v>5346.9000000000015</v>
      </c>
      <c r="U27" s="15">
        <v>2267.2999999999997</v>
      </c>
      <c r="V27" s="34">
        <v>1892.1</v>
      </c>
      <c r="W27" s="15">
        <v>2700</v>
      </c>
      <c r="X27" s="15">
        <v>5292.7</v>
      </c>
      <c r="Y27" s="15">
        <v>5221</v>
      </c>
      <c r="Z27" s="15">
        <v>4171</v>
      </c>
      <c r="AA27" s="15">
        <v>16289</v>
      </c>
      <c r="AB27" s="15">
        <v>5317</v>
      </c>
      <c r="AC27" s="15"/>
      <c r="AD27" s="15"/>
      <c r="AE27" s="15"/>
      <c r="AF27" s="160"/>
      <c r="AG27" s="186"/>
      <c r="AH27" s="181">
        <v>35996.800000000003</v>
      </c>
      <c r="AI27" s="15">
        <f t="shared" si="1"/>
        <v>43150.1</v>
      </c>
      <c r="AJ27" s="177">
        <f t="shared" si="5"/>
        <v>79146.899999999994</v>
      </c>
      <c r="AK27" s="16">
        <f t="shared" si="6"/>
        <v>73800</v>
      </c>
      <c r="AL27" s="16">
        <f t="shared" si="2"/>
        <v>5346.9000000000015</v>
      </c>
    </row>
    <row r="28" spans="1:39" x14ac:dyDescent="0.25">
      <c r="A28" s="4">
        <v>26</v>
      </c>
      <c r="B28" s="27" t="s">
        <v>46</v>
      </c>
      <c r="C28" s="28">
        <v>3984411</v>
      </c>
      <c r="D28" s="6" t="s">
        <v>174</v>
      </c>
      <c r="E28" s="2"/>
      <c r="F28" s="51">
        <v>30098.100000000006</v>
      </c>
      <c r="G28" s="6" t="s">
        <v>393</v>
      </c>
      <c r="H28" s="18">
        <v>45908</v>
      </c>
      <c r="I28" s="2" t="s">
        <v>118</v>
      </c>
      <c r="J28" s="2">
        <v>525209</v>
      </c>
      <c r="K28" s="2">
        <v>548564</v>
      </c>
      <c r="L28" s="7">
        <f t="shared" si="0"/>
        <v>23.355</v>
      </c>
      <c r="M28" s="15">
        <v>1000</v>
      </c>
      <c r="N28" s="17">
        <f t="shared" si="3"/>
        <v>23355</v>
      </c>
      <c r="O28" s="15"/>
      <c r="P28" s="15">
        <v>7000</v>
      </c>
      <c r="Q28" s="17">
        <f t="shared" si="9"/>
        <v>30355</v>
      </c>
      <c r="R28" s="15"/>
      <c r="S28" s="15"/>
      <c r="T28" s="17">
        <f t="shared" si="4"/>
        <v>60453.100000000006</v>
      </c>
      <c r="U28" s="15">
        <v>28654.5</v>
      </c>
      <c r="V28" s="34">
        <v>25034.799999999999</v>
      </c>
      <c r="W28" s="15">
        <v>18223.8</v>
      </c>
      <c r="X28" s="15">
        <v>22033.199999999997</v>
      </c>
      <c r="Y28" s="15">
        <v>26587</v>
      </c>
      <c r="Z28" s="15">
        <v>26122</v>
      </c>
      <c r="AA28" s="15">
        <v>30095</v>
      </c>
      <c r="AB28" s="15">
        <v>30355</v>
      </c>
      <c r="AC28" s="15"/>
      <c r="AD28" s="15"/>
      <c r="AE28" s="15"/>
      <c r="AF28" s="160"/>
      <c r="AG28" s="186"/>
      <c r="AH28" s="181">
        <v>2547.8000000000029</v>
      </c>
      <c r="AI28" s="15">
        <f t="shared" si="1"/>
        <v>207105.3</v>
      </c>
      <c r="AJ28" s="177">
        <f t="shared" si="5"/>
        <v>209653.09999999998</v>
      </c>
      <c r="AK28" s="16">
        <f t="shared" si="6"/>
        <v>149199.99999999997</v>
      </c>
      <c r="AL28" s="16">
        <f t="shared" si="2"/>
        <v>60453.100000000006</v>
      </c>
    </row>
    <row r="29" spans="1:39" x14ac:dyDescent="0.25">
      <c r="A29" s="4">
        <v>27</v>
      </c>
      <c r="B29" s="27" t="s">
        <v>45</v>
      </c>
      <c r="C29" s="28">
        <v>1050549198</v>
      </c>
      <c r="D29" s="6" t="s">
        <v>175</v>
      </c>
      <c r="E29" s="2"/>
      <c r="F29" s="51">
        <v>39289.000000000015</v>
      </c>
      <c r="G29" s="6" t="s">
        <v>394</v>
      </c>
      <c r="H29" s="18">
        <v>45908</v>
      </c>
      <c r="I29" s="2" t="s">
        <v>118</v>
      </c>
      <c r="J29" s="2">
        <v>386466</v>
      </c>
      <c r="K29" s="2">
        <v>399001</v>
      </c>
      <c r="L29" s="7">
        <f t="shared" si="0"/>
        <v>12.535</v>
      </c>
      <c r="M29" s="15">
        <v>1000</v>
      </c>
      <c r="N29" s="17">
        <f t="shared" si="3"/>
        <v>12535</v>
      </c>
      <c r="O29" s="15"/>
      <c r="P29" s="15">
        <v>7000</v>
      </c>
      <c r="Q29" s="17">
        <f t="shared" si="9"/>
        <v>19535</v>
      </c>
      <c r="R29" s="15"/>
      <c r="S29" s="15"/>
      <c r="T29" s="17">
        <f t="shared" si="4"/>
        <v>58824.000000000015</v>
      </c>
      <c r="U29" s="15">
        <v>17812.900000000001</v>
      </c>
      <c r="V29" s="34">
        <v>18639.599999999999</v>
      </c>
      <c r="W29" s="15">
        <v>19054</v>
      </c>
      <c r="X29" s="15">
        <v>20745.199999999997</v>
      </c>
      <c r="Y29" s="15">
        <v>28314</v>
      </c>
      <c r="Z29" s="15">
        <v>26084</v>
      </c>
      <c r="AA29" s="15">
        <v>39146</v>
      </c>
      <c r="AB29" s="15">
        <v>19535</v>
      </c>
      <c r="AC29" s="15"/>
      <c r="AD29" s="15"/>
      <c r="AE29" s="15"/>
      <c r="AF29" s="160"/>
      <c r="AG29" s="186"/>
      <c r="AH29" s="181">
        <v>2022.3000000000175</v>
      </c>
      <c r="AI29" s="15">
        <f t="shared" si="1"/>
        <v>189330.7</v>
      </c>
      <c r="AJ29" s="177">
        <f t="shared" si="5"/>
        <v>191353.00000000003</v>
      </c>
      <c r="AK29" s="16">
        <f t="shared" si="6"/>
        <v>132529</v>
      </c>
      <c r="AL29" s="16">
        <f t="shared" si="2"/>
        <v>58824.000000000015</v>
      </c>
    </row>
    <row r="30" spans="1:39" x14ac:dyDescent="0.25">
      <c r="A30" s="167">
        <v>28</v>
      </c>
      <c r="B30" s="27" t="s">
        <v>135</v>
      </c>
      <c r="C30" s="28">
        <v>1129504266</v>
      </c>
      <c r="D30" s="6" t="s">
        <v>176</v>
      </c>
      <c r="E30" s="2"/>
      <c r="F30" s="51">
        <v>151369.99999999997</v>
      </c>
      <c r="G30" s="6" t="s">
        <v>395</v>
      </c>
      <c r="H30" s="18">
        <v>45908</v>
      </c>
      <c r="I30" s="2" t="s">
        <v>118</v>
      </c>
      <c r="J30" s="2">
        <v>349633</v>
      </c>
      <c r="K30" s="2">
        <v>363875</v>
      </c>
      <c r="L30" s="7">
        <f t="shared" si="0"/>
        <v>14.242000000000001</v>
      </c>
      <c r="M30" s="15">
        <v>1000</v>
      </c>
      <c r="N30" s="17">
        <f t="shared" si="3"/>
        <v>14242</v>
      </c>
      <c r="O30" s="15"/>
      <c r="P30" s="15">
        <v>7000</v>
      </c>
      <c r="Q30" s="17">
        <f t="shared" si="9"/>
        <v>21242</v>
      </c>
      <c r="R30" s="15"/>
      <c r="S30" s="15"/>
      <c r="T30" s="17">
        <f t="shared" si="4"/>
        <v>172611.99999999997</v>
      </c>
      <c r="U30" s="15">
        <v>21056.699999999997</v>
      </c>
      <c r="V30" s="34">
        <v>14807.1</v>
      </c>
      <c r="W30" s="15">
        <v>14457.8</v>
      </c>
      <c r="X30" s="15">
        <v>17311</v>
      </c>
      <c r="Y30" s="15">
        <v>21482</v>
      </c>
      <c r="Z30" s="15">
        <v>19645</v>
      </c>
      <c r="AA30" s="15">
        <v>24847</v>
      </c>
      <c r="AB30" s="15">
        <v>21242</v>
      </c>
      <c r="AC30" s="15"/>
      <c r="AD30" s="15"/>
      <c r="AE30" s="15"/>
      <c r="AF30" s="160"/>
      <c r="AG30" s="186"/>
      <c r="AH30" s="181">
        <v>117763.4</v>
      </c>
      <c r="AI30" s="15">
        <f t="shared" si="1"/>
        <v>154848.59999999998</v>
      </c>
      <c r="AJ30" s="177">
        <f t="shared" si="5"/>
        <v>272612</v>
      </c>
      <c r="AK30" s="16">
        <f t="shared" si="6"/>
        <v>100000.00000000003</v>
      </c>
      <c r="AL30" s="16">
        <f t="shared" si="2"/>
        <v>172611.99999999997</v>
      </c>
    </row>
    <row r="31" spans="1:39" x14ac:dyDescent="0.25">
      <c r="A31" s="163">
        <v>29</v>
      </c>
      <c r="B31" s="27" t="s">
        <v>44</v>
      </c>
      <c r="C31" s="28">
        <v>1064714270</v>
      </c>
      <c r="D31" s="6" t="s">
        <v>177</v>
      </c>
      <c r="E31" s="2"/>
      <c r="F31" s="51">
        <v>104994.79999999999</v>
      </c>
      <c r="G31" s="6" t="s">
        <v>396</v>
      </c>
      <c r="H31" s="18">
        <v>45908</v>
      </c>
      <c r="I31" s="2" t="s">
        <v>118</v>
      </c>
      <c r="J31" s="2">
        <v>623174</v>
      </c>
      <c r="K31" s="2">
        <v>659165</v>
      </c>
      <c r="L31" s="7">
        <f t="shared" si="0"/>
        <v>35.991</v>
      </c>
      <c r="M31" s="15">
        <v>1000</v>
      </c>
      <c r="N31" s="17">
        <f t="shared" si="3"/>
        <v>35991</v>
      </c>
      <c r="O31" s="15"/>
      <c r="P31" s="15">
        <v>7000</v>
      </c>
      <c r="Q31" s="17">
        <f t="shared" si="9"/>
        <v>42991</v>
      </c>
      <c r="R31" s="15"/>
      <c r="S31" s="15"/>
      <c r="T31" s="17">
        <f t="shared" si="4"/>
        <v>147985.79999999999</v>
      </c>
      <c r="U31" s="15">
        <v>34939.800000000003</v>
      </c>
      <c r="V31" s="34">
        <v>37342.9</v>
      </c>
      <c r="W31" s="15">
        <v>31455.899999999998</v>
      </c>
      <c r="X31" s="15">
        <v>33579.699999999997</v>
      </c>
      <c r="Y31" s="15">
        <v>33003</v>
      </c>
      <c r="Z31" s="15">
        <v>30031</v>
      </c>
      <c r="AA31" s="15">
        <v>44932</v>
      </c>
      <c r="AB31" s="15">
        <v>42991</v>
      </c>
      <c r="AC31" s="15"/>
      <c r="AD31" s="15"/>
      <c r="AE31" s="15"/>
      <c r="AF31" s="160"/>
      <c r="AG31" s="186"/>
      <c r="AH31" s="181">
        <v>59710.5</v>
      </c>
      <c r="AI31" s="15">
        <f t="shared" si="1"/>
        <v>288275.3</v>
      </c>
      <c r="AJ31" s="177">
        <f t="shared" si="5"/>
        <v>347985.8</v>
      </c>
      <c r="AK31" s="16">
        <f t="shared" si="6"/>
        <v>200000</v>
      </c>
      <c r="AL31" s="16">
        <f t="shared" si="2"/>
        <v>147985.79999999999</v>
      </c>
    </row>
    <row r="32" spans="1:39" x14ac:dyDescent="0.25">
      <c r="A32" s="163">
        <v>30</v>
      </c>
      <c r="B32" s="27" t="s">
        <v>344</v>
      </c>
      <c r="C32" s="28">
        <v>49658251</v>
      </c>
      <c r="D32" s="6" t="s">
        <v>178</v>
      </c>
      <c r="E32" s="2"/>
      <c r="F32" s="51">
        <v>137738.20000000001</v>
      </c>
      <c r="G32" s="6" t="s">
        <v>397</v>
      </c>
      <c r="H32" s="18">
        <v>45908</v>
      </c>
      <c r="I32" s="2" t="s">
        <v>118</v>
      </c>
      <c r="J32" s="2">
        <v>173493</v>
      </c>
      <c r="K32" s="2">
        <v>190291</v>
      </c>
      <c r="L32" s="7">
        <f t="shared" si="0"/>
        <v>16.797999999999998</v>
      </c>
      <c r="M32" s="15">
        <v>1000</v>
      </c>
      <c r="N32" s="17">
        <f t="shared" si="3"/>
        <v>16798</v>
      </c>
      <c r="O32" s="15"/>
      <c r="P32" s="15">
        <v>7000</v>
      </c>
      <c r="Q32" s="17">
        <f t="shared" si="9"/>
        <v>23798</v>
      </c>
      <c r="R32" s="15"/>
      <c r="S32" s="15"/>
      <c r="T32" s="17">
        <f t="shared" si="4"/>
        <v>161536.20000000001</v>
      </c>
      <c r="U32" s="15">
        <v>9184.7000000000007</v>
      </c>
      <c r="V32" s="34">
        <v>11417.7</v>
      </c>
      <c r="W32" s="15">
        <v>2700</v>
      </c>
      <c r="X32" s="15">
        <v>3462.9</v>
      </c>
      <c r="Y32" s="15">
        <v>20156</v>
      </c>
      <c r="Z32" s="15">
        <v>27211</v>
      </c>
      <c r="AA32" s="15">
        <v>45947</v>
      </c>
      <c r="AB32" s="15">
        <v>23798</v>
      </c>
      <c r="AC32" s="15"/>
      <c r="AD32" s="15"/>
      <c r="AE32" s="15"/>
      <c r="AF32" s="160"/>
      <c r="AG32" s="186"/>
      <c r="AH32" s="181">
        <v>17658.899999999994</v>
      </c>
      <c r="AI32" s="15">
        <f t="shared" si="1"/>
        <v>143877.29999999999</v>
      </c>
      <c r="AJ32" s="177">
        <f t="shared" si="5"/>
        <v>161536.19999999998</v>
      </c>
      <c r="AK32" s="16">
        <f t="shared" si="6"/>
        <v>0</v>
      </c>
      <c r="AL32" s="16">
        <f t="shared" si="2"/>
        <v>161536.20000000001</v>
      </c>
    </row>
    <row r="33" spans="1:38" s="194" customFormat="1" x14ac:dyDescent="0.25">
      <c r="A33" s="4">
        <v>31</v>
      </c>
      <c r="B33" s="39" t="s">
        <v>343</v>
      </c>
      <c r="C33" s="57">
        <v>49658251</v>
      </c>
      <c r="D33" s="40"/>
      <c r="E33" s="41" t="s">
        <v>345</v>
      </c>
      <c r="F33" s="58">
        <v>63400</v>
      </c>
      <c r="G33" s="6" t="s">
        <v>398</v>
      </c>
      <c r="H33" s="18">
        <v>45908</v>
      </c>
      <c r="I33" s="2" t="s">
        <v>118</v>
      </c>
      <c r="J33" s="41"/>
      <c r="K33" s="41"/>
      <c r="L33" s="156">
        <f t="shared" si="0"/>
        <v>0</v>
      </c>
      <c r="M33" s="15">
        <v>1000</v>
      </c>
      <c r="N33" s="17">
        <v>1000</v>
      </c>
      <c r="O33" s="157"/>
      <c r="P33" s="157">
        <v>1000</v>
      </c>
      <c r="Q33" s="17">
        <f t="shared" si="9"/>
        <v>2000</v>
      </c>
      <c r="R33" s="157"/>
      <c r="S33" s="157"/>
      <c r="T33" s="158">
        <f t="shared" si="4"/>
        <v>65400</v>
      </c>
      <c r="U33" s="157">
        <v>8000</v>
      </c>
      <c r="V33" s="34">
        <v>8000</v>
      </c>
      <c r="W33" s="157">
        <v>2700</v>
      </c>
      <c r="X33" s="157">
        <v>2700</v>
      </c>
      <c r="Y33" s="157">
        <v>4000</v>
      </c>
      <c r="Z33" s="157">
        <v>4000</v>
      </c>
      <c r="AA33" s="157">
        <v>1000</v>
      </c>
      <c r="AB33" s="157">
        <v>2000</v>
      </c>
      <c r="AC33" s="157"/>
      <c r="AD33" s="157"/>
      <c r="AE33" s="157"/>
      <c r="AF33" s="162"/>
      <c r="AG33" s="188"/>
      <c r="AH33" s="183">
        <v>32000</v>
      </c>
      <c r="AI33" s="157">
        <f t="shared" si="1"/>
        <v>32400</v>
      </c>
      <c r="AJ33" s="207">
        <f t="shared" si="5"/>
        <v>64400</v>
      </c>
      <c r="AK33" s="174">
        <f t="shared" si="6"/>
        <v>-1000</v>
      </c>
      <c r="AL33" s="174">
        <f t="shared" si="2"/>
        <v>65400</v>
      </c>
    </row>
    <row r="34" spans="1:38" x14ac:dyDescent="0.25">
      <c r="A34" s="4">
        <v>32</v>
      </c>
      <c r="B34" s="39" t="s">
        <v>305</v>
      </c>
      <c r="C34" s="57">
        <v>1050918448</v>
      </c>
      <c r="D34" s="147" t="s">
        <v>179</v>
      </c>
      <c r="E34" s="141"/>
      <c r="F34" s="148">
        <v>42516.999999999993</v>
      </c>
      <c r="G34" s="6" t="s">
        <v>399</v>
      </c>
      <c r="H34" s="18">
        <v>45908</v>
      </c>
      <c r="I34" s="2" t="s">
        <v>118</v>
      </c>
      <c r="J34" s="141">
        <v>246820</v>
      </c>
      <c r="K34" s="141">
        <v>250877</v>
      </c>
      <c r="L34" s="7">
        <f t="shared" si="0"/>
        <v>4.0570000000000004</v>
      </c>
      <c r="M34" s="15">
        <v>1000</v>
      </c>
      <c r="N34" s="17">
        <f t="shared" si="3"/>
        <v>4057.0000000000005</v>
      </c>
      <c r="O34" s="15"/>
      <c r="P34" s="15">
        <v>7000</v>
      </c>
      <c r="Q34" s="17">
        <f t="shared" si="9"/>
        <v>11057</v>
      </c>
      <c r="R34" s="15"/>
      <c r="S34" s="15"/>
      <c r="T34" s="17">
        <f t="shared" si="4"/>
        <v>53573.999999999993</v>
      </c>
      <c r="U34" s="15">
        <v>10780</v>
      </c>
      <c r="V34" s="34">
        <v>9700</v>
      </c>
      <c r="W34" s="15">
        <v>9700</v>
      </c>
      <c r="X34" s="15">
        <v>10524.5</v>
      </c>
      <c r="Y34" s="15">
        <v>16758</v>
      </c>
      <c r="Z34" s="15">
        <v>11368</v>
      </c>
      <c r="AA34" s="15">
        <v>10694</v>
      </c>
      <c r="AB34" s="15">
        <v>11057</v>
      </c>
      <c r="AC34" s="15"/>
      <c r="AD34" s="15"/>
      <c r="AE34" s="15"/>
      <c r="AF34" s="160"/>
      <c r="AG34" s="186"/>
      <c r="AH34" s="181">
        <v>22992.499999999993</v>
      </c>
      <c r="AI34" s="15">
        <f t="shared" si="1"/>
        <v>90581.5</v>
      </c>
      <c r="AJ34" s="177">
        <f t="shared" si="5"/>
        <v>113574</v>
      </c>
      <c r="AK34" s="16">
        <f t="shared" si="6"/>
        <v>60000.000000000007</v>
      </c>
      <c r="AL34" s="16">
        <f t="shared" si="2"/>
        <v>53573.999999999993</v>
      </c>
    </row>
    <row r="35" spans="1:38" x14ac:dyDescent="0.25">
      <c r="A35" s="167">
        <v>33</v>
      </c>
      <c r="B35" s="27" t="s">
        <v>43</v>
      </c>
      <c r="C35" s="28">
        <v>1007640189</v>
      </c>
      <c r="D35" s="6" t="s">
        <v>180</v>
      </c>
      <c r="E35" s="2"/>
      <c r="F35" s="51">
        <v>17045.400000000023</v>
      </c>
      <c r="G35" s="6" t="s">
        <v>400</v>
      </c>
      <c r="H35" s="18">
        <v>45908</v>
      </c>
      <c r="I35" s="2" t="s">
        <v>118</v>
      </c>
      <c r="J35" s="2">
        <v>636877</v>
      </c>
      <c r="K35" s="2">
        <v>636877</v>
      </c>
      <c r="L35" s="7">
        <f t="shared" si="0"/>
        <v>0</v>
      </c>
      <c r="M35" s="15">
        <v>1000</v>
      </c>
      <c r="N35" s="17">
        <v>10000</v>
      </c>
      <c r="O35" s="15"/>
      <c r="P35" s="15">
        <v>7000</v>
      </c>
      <c r="Q35" s="17">
        <f t="shared" si="9"/>
        <v>17000</v>
      </c>
      <c r="R35" s="15"/>
      <c r="S35" s="15"/>
      <c r="T35" s="17">
        <f t="shared" si="4"/>
        <v>34045.400000000023</v>
      </c>
      <c r="U35" s="15">
        <v>26040</v>
      </c>
      <c r="V35" s="34">
        <v>33884.199999999997</v>
      </c>
      <c r="W35" s="15">
        <v>32667.599999999999</v>
      </c>
      <c r="X35" s="15">
        <v>15000</v>
      </c>
      <c r="Y35" s="15">
        <v>17000</v>
      </c>
      <c r="Z35" s="15">
        <v>17000</v>
      </c>
      <c r="AA35" s="15">
        <v>17000</v>
      </c>
      <c r="AB35" s="15">
        <v>17000</v>
      </c>
      <c r="AC35" s="15"/>
      <c r="AD35" s="15"/>
      <c r="AE35" s="15"/>
      <c r="AF35" s="160"/>
      <c r="AG35" s="186"/>
      <c r="AH35" s="181">
        <v>49953.60000000002</v>
      </c>
      <c r="AI35" s="15">
        <f t="shared" si="1"/>
        <v>175591.8</v>
      </c>
      <c r="AJ35" s="177">
        <f t="shared" si="5"/>
        <v>225545.40000000002</v>
      </c>
      <c r="AK35" s="16">
        <f t="shared" si="6"/>
        <v>191500</v>
      </c>
      <c r="AL35" s="16">
        <f t="shared" si="2"/>
        <v>34045.400000000023</v>
      </c>
    </row>
    <row r="36" spans="1:38" x14ac:dyDescent="0.25">
      <c r="A36" s="163">
        <v>34</v>
      </c>
      <c r="B36" s="27" t="s">
        <v>306</v>
      </c>
      <c r="C36" s="28">
        <v>3985455</v>
      </c>
      <c r="D36" s="6" t="s">
        <v>181</v>
      </c>
      <c r="E36" s="2"/>
      <c r="F36" s="51">
        <v>102504.8</v>
      </c>
      <c r="G36" s="6" t="s">
        <v>401</v>
      </c>
      <c r="H36" s="18">
        <v>45908</v>
      </c>
      <c r="I36" s="2" t="s">
        <v>118</v>
      </c>
      <c r="J36" s="2">
        <v>90859</v>
      </c>
      <c r="K36" s="2">
        <v>112024</v>
      </c>
      <c r="L36" s="7">
        <f t="shared" si="0"/>
        <v>21.164999999999999</v>
      </c>
      <c r="M36" s="15">
        <v>1000</v>
      </c>
      <c r="N36" s="17">
        <f t="shared" si="3"/>
        <v>21165</v>
      </c>
      <c r="O36" s="15"/>
      <c r="P36" s="15">
        <v>7700</v>
      </c>
      <c r="Q36" s="17">
        <f t="shared" si="9"/>
        <v>28865</v>
      </c>
      <c r="R36" s="15"/>
      <c r="S36" s="15"/>
      <c r="T36" s="17">
        <f t="shared" si="4"/>
        <v>131369.79999999999</v>
      </c>
      <c r="U36" s="15">
        <v>9034.2000000000007</v>
      </c>
      <c r="V36" s="34">
        <v>9285.5</v>
      </c>
      <c r="W36" s="15">
        <v>10047.1</v>
      </c>
      <c r="X36" s="15">
        <v>9700</v>
      </c>
      <c r="Y36" s="15">
        <v>10700</v>
      </c>
      <c r="Z36" s="15">
        <v>10700</v>
      </c>
      <c r="AA36" s="15">
        <v>10700</v>
      </c>
      <c r="AB36" s="15">
        <v>28865</v>
      </c>
      <c r="AC36" s="15"/>
      <c r="AD36" s="15"/>
      <c r="AE36" s="15"/>
      <c r="AF36" s="160"/>
      <c r="AG36" s="186"/>
      <c r="AH36" s="181">
        <v>62338</v>
      </c>
      <c r="AI36" s="15">
        <f t="shared" si="1"/>
        <v>99031.8</v>
      </c>
      <c r="AJ36" s="177">
        <f t="shared" si="5"/>
        <v>161369.79999999999</v>
      </c>
      <c r="AK36" s="16">
        <f t="shared" si="6"/>
        <v>30000</v>
      </c>
      <c r="AL36" s="16">
        <f t="shared" si="2"/>
        <v>131369.79999999999</v>
      </c>
    </row>
    <row r="37" spans="1:38" x14ac:dyDescent="0.25">
      <c r="A37" s="163">
        <v>35</v>
      </c>
      <c r="B37" s="27" t="s">
        <v>307</v>
      </c>
      <c r="C37" s="28">
        <v>1050548458</v>
      </c>
      <c r="D37" s="6" t="s">
        <v>182</v>
      </c>
      <c r="E37" s="2"/>
      <c r="F37" s="51">
        <v>12087.700000000012</v>
      </c>
      <c r="G37" s="6" t="s">
        <v>402</v>
      </c>
      <c r="H37" s="18">
        <v>45908</v>
      </c>
      <c r="I37" s="2" t="s">
        <v>118</v>
      </c>
      <c r="J37" s="2">
        <v>361098</v>
      </c>
      <c r="K37" s="2">
        <v>376766</v>
      </c>
      <c r="L37" s="7">
        <f t="shared" si="0"/>
        <v>15.667999999999999</v>
      </c>
      <c r="M37" s="15">
        <v>1000</v>
      </c>
      <c r="N37" s="17">
        <f t="shared" si="3"/>
        <v>15668</v>
      </c>
      <c r="O37" s="15"/>
      <c r="P37" s="15">
        <v>7000</v>
      </c>
      <c r="Q37" s="17">
        <f t="shared" si="9"/>
        <v>22668</v>
      </c>
      <c r="R37" s="15"/>
      <c r="S37" s="15"/>
      <c r="T37" s="17">
        <f t="shared" si="4"/>
        <v>34755.700000000012</v>
      </c>
      <c r="U37" s="15">
        <v>18504.5</v>
      </c>
      <c r="V37" s="34">
        <v>14506.8</v>
      </c>
      <c r="W37" s="15">
        <v>14176.400000000001</v>
      </c>
      <c r="X37" s="15">
        <v>19651.099999999999</v>
      </c>
      <c r="Y37" s="15">
        <v>29287</v>
      </c>
      <c r="Z37" s="15">
        <v>20341</v>
      </c>
      <c r="AA37" s="15">
        <v>22536</v>
      </c>
      <c r="AB37" s="15">
        <v>22668</v>
      </c>
      <c r="AC37" s="15"/>
      <c r="AD37" s="15"/>
      <c r="AE37" s="15"/>
      <c r="AF37" s="160"/>
      <c r="AG37" s="186"/>
      <c r="AH37" s="181">
        <v>23084.899999999994</v>
      </c>
      <c r="AI37" s="15">
        <f t="shared" ref="AI37:AI68" si="10">SUM(U37:AF37)</f>
        <v>161670.79999999999</v>
      </c>
      <c r="AJ37" s="177">
        <f t="shared" si="5"/>
        <v>184755.69999999998</v>
      </c>
      <c r="AK37" s="16">
        <f t="shared" si="6"/>
        <v>149999.99999999997</v>
      </c>
      <c r="AL37" s="16">
        <f t="shared" ref="AL37:AL69" si="11">T37</f>
        <v>34755.700000000012</v>
      </c>
    </row>
    <row r="38" spans="1:38" x14ac:dyDescent="0.25">
      <c r="A38" s="4">
        <v>36</v>
      </c>
      <c r="B38" s="27" t="s">
        <v>42</v>
      </c>
      <c r="C38" s="28">
        <v>28484251</v>
      </c>
      <c r="D38" s="6" t="s">
        <v>183</v>
      </c>
      <c r="E38" s="2"/>
      <c r="F38" s="51">
        <v>0.30000000000291038</v>
      </c>
      <c r="G38" s="6" t="s">
        <v>403</v>
      </c>
      <c r="H38" s="18">
        <v>45908</v>
      </c>
      <c r="I38" s="2" t="s">
        <v>118</v>
      </c>
      <c r="J38" s="2">
        <v>621837</v>
      </c>
      <c r="K38" s="2">
        <v>643983</v>
      </c>
      <c r="L38" s="7">
        <f t="shared" ref="L38:L69" si="12">(K38-J38)/1000</f>
        <v>22.146000000000001</v>
      </c>
      <c r="M38" s="15">
        <v>1000</v>
      </c>
      <c r="N38" s="17">
        <f t="shared" si="3"/>
        <v>22146</v>
      </c>
      <c r="O38" s="15"/>
      <c r="P38" s="15">
        <v>7000</v>
      </c>
      <c r="Q38" s="17">
        <f t="shared" si="9"/>
        <v>29146</v>
      </c>
      <c r="R38" s="15"/>
      <c r="S38" s="15"/>
      <c r="T38" s="17">
        <f t="shared" si="4"/>
        <v>29146.300000000003</v>
      </c>
      <c r="U38" s="15">
        <v>28024.5</v>
      </c>
      <c r="V38" s="34">
        <v>30515.100000000002</v>
      </c>
      <c r="W38" s="15">
        <v>26818.400000000001</v>
      </c>
      <c r="X38" s="15">
        <v>29456.7</v>
      </c>
      <c r="Y38" s="15">
        <v>39033</v>
      </c>
      <c r="Z38" s="15">
        <v>29412</v>
      </c>
      <c r="AA38" s="15">
        <v>21692</v>
      </c>
      <c r="AB38" s="15">
        <v>29146</v>
      </c>
      <c r="AC38" s="15"/>
      <c r="AD38" s="15"/>
      <c r="AE38" s="15"/>
      <c r="AF38" s="160"/>
      <c r="AG38" s="186"/>
      <c r="AH38" s="181">
        <v>15200.600000000006</v>
      </c>
      <c r="AI38" s="15">
        <f t="shared" si="10"/>
        <v>234097.7</v>
      </c>
      <c r="AJ38" s="177">
        <f t="shared" si="5"/>
        <v>249298.30000000002</v>
      </c>
      <c r="AK38" s="16">
        <f t="shared" si="6"/>
        <v>220152</v>
      </c>
      <c r="AL38" s="16">
        <f t="shared" si="11"/>
        <v>29146.300000000003</v>
      </c>
    </row>
    <row r="39" spans="1:38" x14ac:dyDescent="0.25">
      <c r="A39" s="4">
        <v>37</v>
      </c>
      <c r="B39" s="27" t="s">
        <v>308</v>
      </c>
      <c r="C39" s="28">
        <v>1050922872</v>
      </c>
      <c r="D39" s="6" t="s">
        <v>184</v>
      </c>
      <c r="E39" s="2"/>
      <c r="F39" s="51">
        <v>73442.099999999991</v>
      </c>
      <c r="G39" s="6" t="s">
        <v>404</v>
      </c>
      <c r="H39" s="18">
        <v>45908</v>
      </c>
      <c r="I39" s="2" t="s">
        <v>118</v>
      </c>
      <c r="J39" s="2">
        <v>404279</v>
      </c>
      <c r="K39" s="2">
        <v>425156</v>
      </c>
      <c r="L39" s="7">
        <f t="shared" si="12"/>
        <v>20.876999999999999</v>
      </c>
      <c r="M39" s="15">
        <v>1000</v>
      </c>
      <c r="N39" s="17">
        <f t="shared" si="3"/>
        <v>20877</v>
      </c>
      <c r="O39" s="15"/>
      <c r="P39" s="15">
        <v>7000</v>
      </c>
      <c r="Q39" s="17">
        <f t="shared" si="9"/>
        <v>27877</v>
      </c>
      <c r="R39" s="15"/>
      <c r="S39" s="15"/>
      <c r="T39" s="17">
        <f t="shared" si="4"/>
        <v>101319.09999999999</v>
      </c>
      <c r="U39" s="15">
        <v>16447.2</v>
      </c>
      <c r="V39" s="34">
        <v>15411.9</v>
      </c>
      <c r="W39" s="15">
        <v>21411.599999999999</v>
      </c>
      <c r="X39" s="15">
        <v>29006.6</v>
      </c>
      <c r="Y39" s="15">
        <v>32975</v>
      </c>
      <c r="Z39" s="15">
        <v>29028</v>
      </c>
      <c r="AA39" s="15">
        <v>32352</v>
      </c>
      <c r="AB39" s="15">
        <v>27877</v>
      </c>
      <c r="AC39" s="15"/>
      <c r="AD39" s="15"/>
      <c r="AE39" s="15"/>
      <c r="AF39" s="160"/>
      <c r="AG39" s="186"/>
      <c r="AH39" s="181">
        <v>609.79999999999563</v>
      </c>
      <c r="AI39" s="15">
        <f t="shared" si="10"/>
        <v>204509.3</v>
      </c>
      <c r="AJ39" s="177">
        <f t="shared" si="5"/>
        <v>205119.09999999998</v>
      </c>
      <c r="AK39" s="16">
        <f t="shared" si="6"/>
        <v>103799.99999999999</v>
      </c>
      <c r="AL39" s="16">
        <f t="shared" si="11"/>
        <v>101319.09999999999</v>
      </c>
    </row>
    <row r="40" spans="1:38" s="194" customFormat="1" ht="15.75" x14ac:dyDescent="0.25">
      <c r="A40" s="167">
        <v>38</v>
      </c>
      <c r="B40" s="39" t="s">
        <v>137</v>
      </c>
      <c r="C40" s="175">
        <v>3984911</v>
      </c>
      <c r="D40" s="40" t="s">
        <v>256</v>
      </c>
      <c r="E40" s="41"/>
      <c r="F40" s="58">
        <v>667226</v>
      </c>
      <c r="G40" s="6" t="s">
        <v>405</v>
      </c>
      <c r="H40" s="18">
        <v>45908</v>
      </c>
      <c r="I40" s="2" t="s">
        <v>118</v>
      </c>
      <c r="J40" s="41">
        <v>697470</v>
      </c>
      <c r="K40" s="41">
        <v>719800</v>
      </c>
      <c r="L40" s="156">
        <f t="shared" si="12"/>
        <v>22.33</v>
      </c>
      <c r="M40" s="15">
        <v>1000</v>
      </c>
      <c r="N40" s="158">
        <f t="shared" si="3"/>
        <v>22330</v>
      </c>
      <c r="O40" s="157"/>
      <c r="P40" s="157">
        <v>7000</v>
      </c>
      <c r="Q40" s="158">
        <f t="shared" si="9"/>
        <v>29330</v>
      </c>
      <c r="R40" s="157"/>
      <c r="S40" s="157"/>
      <c r="T40" s="158">
        <f t="shared" si="4"/>
        <v>696556</v>
      </c>
      <c r="U40" s="157">
        <v>16268</v>
      </c>
      <c r="V40" s="34">
        <v>24808</v>
      </c>
      <c r="W40" s="157">
        <v>66997</v>
      </c>
      <c r="X40" s="157">
        <v>79569</v>
      </c>
      <c r="Y40" s="157">
        <v>124280</v>
      </c>
      <c r="Z40" s="157">
        <v>101930</v>
      </c>
      <c r="AA40" s="157">
        <v>58760</v>
      </c>
      <c r="AB40" s="157">
        <v>29330</v>
      </c>
      <c r="AC40" s="157"/>
      <c r="AD40" s="157"/>
      <c r="AE40" s="157"/>
      <c r="AF40" s="162"/>
      <c r="AG40" s="188"/>
      <c r="AH40" s="183">
        <v>194614</v>
      </c>
      <c r="AI40" s="157">
        <f t="shared" si="10"/>
        <v>501942</v>
      </c>
      <c r="AJ40" s="177">
        <f t="shared" si="5"/>
        <v>696556</v>
      </c>
      <c r="AK40" s="16">
        <f t="shared" si="6"/>
        <v>0</v>
      </c>
      <c r="AL40" s="174">
        <f t="shared" si="11"/>
        <v>696556</v>
      </c>
    </row>
    <row r="41" spans="1:38" x14ac:dyDescent="0.25">
      <c r="A41" s="163">
        <v>39</v>
      </c>
      <c r="B41" s="27" t="s">
        <v>309</v>
      </c>
      <c r="C41" s="28">
        <v>7952736</v>
      </c>
      <c r="D41" s="6" t="s">
        <v>185</v>
      </c>
      <c r="E41" s="2"/>
      <c r="F41" s="51">
        <v>-153.09999999999127</v>
      </c>
      <c r="G41" s="6" t="s">
        <v>406</v>
      </c>
      <c r="H41" s="18">
        <v>45908</v>
      </c>
      <c r="I41" s="2" t="s">
        <v>118</v>
      </c>
      <c r="J41" s="2">
        <v>644819</v>
      </c>
      <c r="K41" s="2">
        <v>666967</v>
      </c>
      <c r="L41" s="7">
        <f t="shared" si="12"/>
        <v>22.148</v>
      </c>
      <c r="M41" s="15">
        <v>1000</v>
      </c>
      <c r="N41" s="17">
        <f t="shared" si="3"/>
        <v>22148</v>
      </c>
      <c r="O41" s="15"/>
      <c r="P41" s="15">
        <v>7000</v>
      </c>
      <c r="Q41" s="17">
        <f t="shared" si="9"/>
        <v>29148</v>
      </c>
      <c r="R41" s="15"/>
      <c r="S41" s="15"/>
      <c r="T41" s="17">
        <f t="shared" si="4"/>
        <v>28994.900000000009</v>
      </c>
      <c r="U41" s="15">
        <v>28277.200000000001</v>
      </c>
      <c r="V41" s="34">
        <v>25094.3</v>
      </c>
      <c r="W41" s="15">
        <v>32828.600000000006</v>
      </c>
      <c r="X41" s="15">
        <v>26719</v>
      </c>
      <c r="Y41" s="15">
        <v>32474</v>
      </c>
      <c r="Z41" s="15">
        <v>29874</v>
      </c>
      <c r="AA41" s="15">
        <v>33596</v>
      </c>
      <c r="AB41" s="15">
        <v>29148</v>
      </c>
      <c r="AC41" s="15"/>
      <c r="AD41" s="15"/>
      <c r="AE41" s="15"/>
      <c r="AF41" s="160"/>
      <c r="AG41" s="186"/>
      <c r="AH41" s="181">
        <v>-16.19999999999709</v>
      </c>
      <c r="AI41" s="15">
        <f t="shared" si="10"/>
        <v>238011.1</v>
      </c>
      <c r="AJ41" s="177">
        <f t="shared" si="5"/>
        <v>237994.90000000002</v>
      </c>
      <c r="AK41" s="16">
        <f t="shared" si="6"/>
        <v>209000</v>
      </c>
      <c r="AL41" s="16">
        <f t="shared" si="11"/>
        <v>28994.900000000009</v>
      </c>
    </row>
    <row r="42" spans="1:38" x14ac:dyDescent="0.25">
      <c r="A42" s="163">
        <v>40</v>
      </c>
      <c r="B42" s="39" t="s">
        <v>155</v>
      </c>
      <c r="C42" s="57">
        <v>1003249258</v>
      </c>
      <c r="D42" s="40" t="s">
        <v>254</v>
      </c>
      <c r="E42" s="41"/>
      <c r="F42" s="58">
        <v>15</v>
      </c>
      <c r="G42" s="6" t="s">
        <v>407</v>
      </c>
      <c r="H42" s="18">
        <v>45908</v>
      </c>
      <c r="I42" s="2" t="s">
        <v>118</v>
      </c>
      <c r="J42" s="41">
        <v>977607</v>
      </c>
      <c r="K42" s="41">
        <v>992675</v>
      </c>
      <c r="L42" s="7">
        <f t="shared" si="12"/>
        <v>15.068</v>
      </c>
      <c r="M42" s="15">
        <v>1000</v>
      </c>
      <c r="N42" s="17">
        <f t="shared" si="3"/>
        <v>15068</v>
      </c>
      <c r="O42" s="15"/>
      <c r="P42" s="152"/>
      <c r="Q42" s="17">
        <f t="shared" si="9"/>
        <v>15068</v>
      </c>
      <c r="R42" s="15"/>
      <c r="S42" s="15"/>
      <c r="T42" s="17">
        <f t="shared" si="4"/>
        <v>15083</v>
      </c>
      <c r="U42" s="15">
        <v>45619</v>
      </c>
      <c r="V42" s="34">
        <v>33103.699999999997</v>
      </c>
      <c r="W42" s="15">
        <v>24547.599999999999</v>
      </c>
      <c r="X42" s="15">
        <v>7120.4000000000005</v>
      </c>
      <c r="Y42" s="15">
        <v>19143</v>
      </c>
      <c r="Z42" s="15">
        <v>21717</v>
      </c>
      <c r="AA42" s="15">
        <v>24784</v>
      </c>
      <c r="AB42" s="15">
        <v>15068</v>
      </c>
      <c r="AC42" s="15"/>
      <c r="AD42" s="15"/>
      <c r="AE42" s="15"/>
      <c r="AF42" s="160"/>
      <c r="AG42" s="186"/>
      <c r="AH42" s="181">
        <v>31334.499999999993</v>
      </c>
      <c r="AI42" s="15">
        <f t="shared" si="10"/>
        <v>191102.69999999998</v>
      </c>
      <c r="AJ42" s="177">
        <f t="shared" si="5"/>
        <v>222437.19999999998</v>
      </c>
      <c r="AK42" s="16">
        <f t="shared" si="6"/>
        <v>207354.19999999998</v>
      </c>
      <c r="AL42" s="16">
        <f t="shared" si="11"/>
        <v>15083</v>
      </c>
    </row>
    <row r="43" spans="1:38" s="194" customFormat="1" x14ac:dyDescent="0.25">
      <c r="A43" s="4">
        <v>41</v>
      </c>
      <c r="B43" s="39" t="s">
        <v>310</v>
      </c>
      <c r="C43" s="57">
        <v>1050918288</v>
      </c>
      <c r="D43" s="40" t="s">
        <v>186</v>
      </c>
      <c r="E43" s="41"/>
      <c r="F43" s="58">
        <v>3300</v>
      </c>
      <c r="G43" s="6" t="s">
        <v>408</v>
      </c>
      <c r="H43" s="18">
        <v>45908</v>
      </c>
      <c r="I43" s="2" t="s">
        <v>118</v>
      </c>
      <c r="J43" s="41">
        <v>6779</v>
      </c>
      <c r="K43" s="41">
        <v>6779</v>
      </c>
      <c r="L43" s="156">
        <f t="shared" si="12"/>
        <v>0</v>
      </c>
      <c r="M43" s="15">
        <v>1000</v>
      </c>
      <c r="N43" s="158">
        <v>3000</v>
      </c>
      <c r="O43" s="157"/>
      <c r="P43" s="157">
        <v>1000</v>
      </c>
      <c r="Q43" s="158">
        <f t="shared" si="9"/>
        <v>4000</v>
      </c>
      <c r="R43" s="157"/>
      <c r="S43" s="157"/>
      <c r="T43" s="158">
        <f t="shared" si="4"/>
        <v>7300</v>
      </c>
      <c r="U43" s="157">
        <v>2700</v>
      </c>
      <c r="V43" s="34">
        <v>2700</v>
      </c>
      <c r="W43" s="157">
        <v>2700</v>
      </c>
      <c r="X43" s="157">
        <v>2700</v>
      </c>
      <c r="Y43" s="157">
        <v>4000</v>
      </c>
      <c r="Z43" s="157">
        <v>4000</v>
      </c>
      <c r="AA43" s="157">
        <v>4000</v>
      </c>
      <c r="AB43" s="157">
        <v>4000</v>
      </c>
      <c r="AC43" s="157"/>
      <c r="AD43" s="157"/>
      <c r="AE43" s="157"/>
      <c r="AF43" s="162"/>
      <c r="AG43" s="188"/>
      <c r="AH43" s="183">
        <v>22000</v>
      </c>
      <c r="AI43" s="157">
        <f t="shared" si="10"/>
        <v>26800</v>
      </c>
      <c r="AJ43" s="177">
        <f t="shared" si="5"/>
        <v>48800</v>
      </c>
      <c r="AK43" s="16">
        <f t="shared" si="6"/>
        <v>41500</v>
      </c>
      <c r="AL43" s="174">
        <f t="shared" si="11"/>
        <v>7300</v>
      </c>
    </row>
    <row r="44" spans="1:38" s="194" customFormat="1" x14ac:dyDescent="0.25">
      <c r="A44" s="4">
        <v>42</v>
      </c>
      <c r="B44" s="39" t="s">
        <v>369</v>
      </c>
      <c r="C44" s="57">
        <v>3980795</v>
      </c>
      <c r="D44" s="40" t="s">
        <v>187</v>
      </c>
      <c r="E44" s="41"/>
      <c r="F44" s="58">
        <v>-3.8999999999978172</v>
      </c>
      <c r="G44" s="6" t="s">
        <v>409</v>
      </c>
      <c r="H44" s="18">
        <v>45908</v>
      </c>
      <c r="I44" s="2" t="s">
        <v>118</v>
      </c>
      <c r="J44" s="41">
        <v>60194</v>
      </c>
      <c r="K44" s="41">
        <v>61441</v>
      </c>
      <c r="L44" s="156">
        <f t="shared" si="12"/>
        <v>1.2470000000000001</v>
      </c>
      <c r="M44" s="15">
        <v>1000</v>
      </c>
      <c r="N44" s="17">
        <v>3000</v>
      </c>
      <c r="O44" s="157"/>
      <c r="P44" s="157">
        <v>1000</v>
      </c>
      <c r="Q44" s="158">
        <f t="shared" si="9"/>
        <v>4000</v>
      </c>
      <c r="R44" s="157"/>
      <c r="S44" s="157"/>
      <c r="T44" s="158">
        <f t="shared" si="4"/>
        <v>3996.1000000000022</v>
      </c>
      <c r="U44" s="157">
        <v>4351.8999999999996</v>
      </c>
      <c r="V44" s="34">
        <v>5402.6</v>
      </c>
      <c r="W44" s="157">
        <v>3841.6000000000004</v>
      </c>
      <c r="X44" s="157">
        <v>2700</v>
      </c>
      <c r="Y44" s="157">
        <v>4000</v>
      </c>
      <c r="Z44" s="157">
        <v>4000</v>
      </c>
      <c r="AA44" s="157">
        <v>4000</v>
      </c>
      <c r="AB44" s="157">
        <v>4000</v>
      </c>
      <c r="AC44" s="157"/>
      <c r="AD44" s="157"/>
      <c r="AE44" s="157"/>
      <c r="AF44" s="162"/>
      <c r="AG44" s="188"/>
      <c r="AH44" s="183">
        <v>22000</v>
      </c>
      <c r="AI44" s="157">
        <f t="shared" si="10"/>
        <v>32296.1</v>
      </c>
      <c r="AJ44" s="177">
        <f t="shared" si="5"/>
        <v>54296.1</v>
      </c>
      <c r="AK44" s="16">
        <f t="shared" si="6"/>
        <v>50300</v>
      </c>
      <c r="AL44" s="174">
        <f t="shared" si="11"/>
        <v>3996.1000000000022</v>
      </c>
    </row>
    <row r="45" spans="1:38" x14ac:dyDescent="0.25">
      <c r="A45" s="167">
        <v>43</v>
      </c>
      <c r="B45" s="27" t="s">
        <v>140</v>
      </c>
      <c r="C45" s="29"/>
      <c r="D45" s="6" t="s">
        <v>188</v>
      </c>
      <c r="E45" s="2"/>
      <c r="F45" s="51">
        <v>20957.5</v>
      </c>
      <c r="G45" s="6" t="s">
        <v>410</v>
      </c>
      <c r="H45" s="18">
        <v>45908</v>
      </c>
      <c r="I45" s="2" t="s">
        <v>118</v>
      </c>
      <c r="J45" s="2">
        <v>275608</v>
      </c>
      <c r="K45" s="2">
        <v>282180</v>
      </c>
      <c r="L45" s="7">
        <f t="shared" si="12"/>
        <v>6.5720000000000001</v>
      </c>
      <c r="M45" s="15">
        <v>1000</v>
      </c>
      <c r="N45" s="17">
        <f t="shared" si="3"/>
        <v>6572</v>
      </c>
      <c r="O45" s="15"/>
      <c r="P45" s="15">
        <v>7000</v>
      </c>
      <c r="Q45" s="17">
        <f t="shared" si="9"/>
        <v>13572</v>
      </c>
      <c r="R45" s="15"/>
      <c r="S45" s="15"/>
      <c r="T45" s="17">
        <f t="shared" si="4"/>
        <v>34529.5</v>
      </c>
      <c r="U45" s="15">
        <v>12488</v>
      </c>
      <c r="V45" s="34">
        <v>11812.5</v>
      </c>
      <c r="W45" s="15">
        <v>10937.5</v>
      </c>
      <c r="X45" s="15">
        <v>12581.8</v>
      </c>
      <c r="Y45" s="15">
        <v>15160</v>
      </c>
      <c r="Z45" s="15">
        <v>15299</v>
      </c>
      <c r="AA45" s="15">
        <v>20951</v>
      </c>
      <c r="AB45" s="15">
        <v>13572</v>
      </c>
      <c r="AC45" s="15"/>
      <c r="AD45" s="15"/>
      <c r="AE45" s="15"/>
      <c r="AF45" s="160"/>
      <c r="AG45" s="186"/>
      <c r="AH45" s="181">
        <v>10378.700000000003</v>
      </c>
      <c r="AI45" s="15">
        <f t="shared" si="10"/>
        <v>112801.8</v>
      </c>
      <c r="AJ45" s="177">
        <f t="shared" si="5"/>
        <v>123180.5</v>
      </c>
      <c r="AK45" s="16">
        <f t="shared" si="6"/>
        <v>88651</v>
      </c>
      <c r="AL45" s="16">
        <f t="shared" si="11"/>
        <v>34529.5</v>
      </c>
    </row>
    <row r="46" spans="1:38" x14ac:dyDescent="0.25">
      <c r="A46" s="163">
        <v>44</v>
      </c>
      <c r="B46" s="27" t="s">
        <v>142</v>
      </c>
      <c r="C46" s="29"/>
      <c r="D46" s="6" t="s">
        <v>190</v>
      </c>
      <c r="E46" s="2"/>
      <c r="F46" s="51">
        <v>21.500000000007276</v>
      </c>
      <c r="G46" s="6" t="s">
        <v>411</v>
      </c>
      <c r="H46" s="18">
        <v>45908</v>
      </c>
      <c r="I46" s="2" t="s">
        <v>118</v>
      </c>
      <c r="J46" s="2">
        <v>118455</v>
      </c>
      <c r="K46" s="2">
        <v>125252</v>
      </c>
      <c r="L46" s="7">
        <f t="shared" si="12"/>
        <v>6.7969999999999997</v>
      </c>
      <c r="M46" s="15">
        <v>1000</v>
      </c>
      <c r="N46" s="17">
        <f t="shared" si="3"/>
        <v>6797</v>
      </c>
      <c r="O46" s="15"/>
      <c r="P46" s="15">
        <v>7000</v>
      </c>
      <c r="Q46" s="17">
        <f t="shared" si="9"/>
        <v>13797</v>
      </c>
      <c r="R46" s="15"/>
      <c r="S46" s="15"/>
      <c r="T46" s="17">
        <f t="shared" si="4"/>
        <v>13818.500000000007</v>
      </c>
      <c r="U46" s="15">
        <v>11510.8</v>
      </c>
      <c r="V46" s="34">
        <v>11557</v>
      </c>
      <c r="W46" s="15">
        <v>10623.2</v>
      </c>
      <c r="X46" s="15">
        <v>10593.1</v>
      </c>
      <c r="Y46" s="15">
        <v>10333</v>
      </c>
      <c r="Z46" s="15">
        <v>9957</v>
      </c>
      <c r="AA46" s="15">
        <v>12005</v>
      </c>
      <c r="AB46" s="15">
        <v>13797</v>
      </c>
      <c r="AC46" s="15"/>
      <c r="AD46" s="15"/>
      <c r="AE46" s="15"/>
      <c r="AF46" s="160"/>
      <c r="AG46" s="186"/>
      <c r="AH46" s="181">
        <v>42.400000000003274</v>
      </c>
      <c r="AI46" s="15">
        <f t="shared" si="10"/>
        <v>90376.1</v>
      </c>
      <c r="AJ46" s="177">
        <f t="shared" si="5"/>
        <v>90418.500000000015</v>
      </c>
      <c r="AK46" s="16">
        <f t="shared" si="6"/>
        <v>76600</v>
      </c>
      <c r="AL46" s="16">
        <f t="shared" si="11"/>
        <v>13818.500000000007</v>
      </c>
    </row>
    <row r="47" spans="1:38" s="194" customFormat="1" x14ac:dyDescent="0.25">
      <c r="A47" s="163">
        <v>45</v>
      </c>
      <c r="B47" s="39" t="s">
        <v>141</v>
      </c>
      <c r="C47" s="141"/>
      <c r="D47" s="40" t="s">
        <v>189</v>
      </c>
      <c r="E47" s="41"/>
      <c r="F47" s="58">
        <v>0</v>
      </c>
      <c r="G47" s="6" t="s">
        <v>412</v>
      </c>
      <c r="H47" s="18">
        <v>45908</v>
      </c>
      <c r="I47" s="2" t="s">
        <v>118</v>
      </c>
      <c r="J47" s="41">
        <v>3643</v>
      </c>
      <c r="K47" s="41">
        <v>3643</v>
      </c>
      <c r="L47" s="156">
        <f t="shared" si="12"/>
        <v>0</v>
      </c>
      <c r="M47" s="15">
        <v>1000</v>
      </c>
      <c r="N47" s="158">
        <v>10000</v>
      </c>
      <c r="O47" s="157"/>
      <c r="P47" s="157">
        <v>7000</v>
      </c>
      <c r="Q47" s="158">
        <f t="shared" si="9"/>
        <v>17000</v>
      </c>
      <c r="R47" s="157"/>
      <c r="S47" s="157"/>
      <c r="T47" s="158">
        <f t="shared" si="4"/>
        <v>17000</v>
      </c>
      <c r="U47" s="157">
        <v>0</v>
      </c>
      <c r="V47" s="34">
        <v>0</v>
      </c>
      <c r="W47" s="157">
        <v>15000</v>
      </c>
      <c r="X47" s="157">
        <v>15000</v>
      </c>
      <c r="Y47" s="157">
        <v>17000</v>
      </c>
      <c r="Z47" s="157">
        <v>17000</v>
      </c>
      <c r="AA47" s="157">
        <v>17000</v>
      </c>
      <c r="AB47" s="157">
        <v>17000</v>
      </c>
      <c r="AC47" s="157"/>
      <c r="AD47" s="157"/>
      <c r="AE47" s="157"/>
      <c r="AF47" s="162"/>
      <c r="AG47" s="188"/>
      <c r="AH47" s="183">
        <v>60000</v>
      </c>
      <c r="AI47" s="157">
        <f t="shared" si="10"/>
        <v>98000</v>
      </c>
      <c r="AJ47" s="207">
        <f t="shared" si="5"/>
        <v>158000</v>
      </c>
      <c r="AK47" s="174">
        <f t="shared" si="6"/>
        <v>141000</v>
      </c>
      <c r="AL47" s="174">
        <f t="shared" si="11"/>
        <v>17000</v>
      </c>
    </row>
    <row r="48" spans="1:38" x14ac:dyDescent="0.25">
      <c r="A48" s="4">
        <v>46</v>
      </c>
      <c r="B48" s="27" t="s">
        <v>100</v>
      </c>
      <c r="C48" s="28">
        <v>4009792</v>
      </c>
      <c r="D48" s="6" t="s">
        <v>191</v>
      </c>
      <c r="E48" s="2"/>
      <c r="F48" s="51">
        <v>200.19999999998254</v>
      </c>
      <c r="G48" s="6" t="s">
        <v>413</v>
      </c>
      <c r="H48" s="18">
        <v>45908</v>
      </c>
      <c r="I48" s="2" t="s">
        <v>118</v>
      </c>
      <c r="J48" s="2">
        <v>337787</v>
      </c>
      <c r="K48" s="2">
        <v>355396</v>
      </c>
      <c r="L48" s="7">
        <f t="shared" si="12"/>
        <v>17.609000000000002</v>
      </c>
      <c r="M48" s="15">
        <v>1000</v>
      </c>
      <c r="N48" s="17">
        <f t="shared" si="3"/>
        <v>17609</v>
      </c>
      <c r="O48" s="15"/>
      <c r="P48" s="15">
        <v>7000</v>
      </c>
      <c r="Q48" s="17">
        <f t="shared" si="9"/>
        <v>24609</v>
      </c>
      <c r="R48" s="15"/>
      <c r="S48" s="15"/>
      <c r="T48" s="17">
        <f t="shared" si="4"/>
        <v>24809.199999999983</v>
      </c>
      <c r="U48" s="15">
        <v>13624.099999999999</v>
      </c>
      <c r="V48" s="34">
        <v>12817</v>
      </c>
      <c r="W48" s="15">
        <v>15160.599999999999</v>
      </c>
      <c r="X48" s="15">
        <v>21116.9</v>
      </c>
      <c r="Y48" s="15">
        <v>22952</v>
      </c>
      <c r="Z48" s="15">
        <v>30496</v>
      </c>
      <c r="AA48" s="15">
        <v>36786</v>
      </c>
      <c r="AB48" s="15">
        <v>24609</v>
      </c>
      <c r="AC48" s="15"/>
      <c r="AD48" s="15"/>
      <c r="AE48" s="15"/>
      <c r="AF48" s="160"/>
      <c r="AG48" s="186"/>
      <c r="AH48" s="181">
        <v>847.59999999999127</v>
      </c>
      <c r="AI48" s="15">
        <f t="shared" si="10"/>
        <v>177561.60000000001</v>
      </c>
      <c r="AJ48" s="177">
        <f t="shared" si="5"/>
        <v>178409.2</v>
      </c>
      <c r="AK48" s="16">
        <f t="shared" si="6"/>
        <v>153600.00000000003</v>
      </c>
      <c r="AL48" s="16">
        <f t="shared" si="11"/>
        <v>24809.199999999983</v>
      </c>
    </row>
    <row r="49" spans="1:38" x14ac:dyDescent="0.25">
      <c r="A49" s="4">
        <v>47</v>
      </c>
      <c r="B49" s="27" t="s">
        <v>143</v>
      </c>
      <c r="C49" s="28">
        <v>1036132710</v>
      </c>
      <c r="D49" s="6" t="s">
        <v>192</v>
      </c>
      <c r="E49" s="2"/>
      <c r="F49" s="51">
        <v>56.100000000002183</v>
      </c>
      <c r="G49" s="6" t="s">
        <v>414</v>
      </c>
      <c r="H49" s="18">
        <v>45908</v>
      </c>
      <c r="I49" s="2" t="s">
        <v>118</v>
      </c>
      <c r="J49" s="2">
        <v>228821</v>
      </c>
      <c r="K49" s="2">
        <v>238867</v>
      </c>
      <c r="L49" s="7">
        <f t="shared" si="12"/>
        <v>10.045999999999999</v>
      </c>
      <c r="M49" s="15">
        <v>1000</v>
      </c>
      <c r="N49" s="17">
        <f t="shared" si="3"/>
        <v>10046</v>
      </c>
      <c r="O49" s="15"/>
      <c r="P49" s="15">
        <v>7000</v>
      </c>
      <c r="Q49" s="17">
        <f t="shared" si="9"/>
        <v>17046</v>
      </c>
      <c r="R49" s="15"/>
      <c r="S49" s="15"/>
      <c r="T49" s="17">
        <f t="shared" si="4"/>
        <v>17102.100000000002</v>
      </c>
      <c r="U49" s="15">
        <v>11074.7</v>
      </c>
      <c r="V49" s="34">
        <v>13176.1</v>
      </c>
      <c r="W49" s="15">
        <v>14877.1</v>
      </c>
      <c r="X49" s="15">
        <v>14156.1</v>
      </c>
      <c r="Y49" s="15">
        <v>18172</v>
      </c>
      <c r="Z49" s="15">
        <v>16436</v>
      </c>
      <c r="AA49" s="15">
        <v>18074</v>
      </c>
      <c r="AB49" s="15">
        <v>17046</v>
      </c>
      <c r="AC49" s="15"/>
      <c r="AD49" s="15"/>
      <c r="AE49" s="15"/>
      <c r="AF49" s="160"/>
      <c r="AG49" s="186"/>
      <c r="AH49" s="181">
        <v>90.100000000000364</v>
      </c>
      <c r="AI49" s="15">
        <f t="shared" si="10"/>
        <v>123012</v>
      </c>
      <c r="AJ49" s="177">
        <f t="shared" si="5"/>
        <v>123102.1</v>
      </c>
      <c r="AK49" s="16">
        <f t="shared" si="6"/>
        <v>106000</v>
      </c>
      <c r="AL49" s="16">
        <f t="shared" si="11"/>
        <v>17102.100000000002</v>
      </c>
    </row>
    <row r="50" spans="1:38" x14ac:dyDescent="0.25">
      <c r="A50" s="167">
        <v>48</v>
      </c>
      <c r="B50" s="27" t="s">
        <v>99</v>
      </c>
      <c r="C50" s="28">
        <v>30783127</v>
      </c>
      <c r="D50" s="6" t="s">
        <v>193</v>
      </c>
      <c r="E50" s="2"/>
      <c r="F50" s="51">
        <v>84.80000000000291</v>
      </c>
      <c r="G50" s="6" t="s">
        <v>415</v>
      </c>
      <c r="H50" s="18">
        <v>45908</v>
      </c>
      <c r="I50" s="2" t="s">
        <v>118</v>
      </c>
      <c r="J50" s="2">
        <v>432104</v>
      </c>
      <c r="K50" s="2">
        <v>449082</v>
      </c>
      <c r="L50" s="7">
        <f t="shared" si="12"/>
        <v>16.978000000000002</v>
      </c>
      <c r="M50" s="15">
        <v>1000</v>
      </c>
      <c r="N50" s="17">
        <f t="shared" si="3"/>
        <v>16978</v>
      </c>
      <c r="O50" s="15"/>
      <c r="P50" s="15">
        <v>7000</v>
      </c>
      <c r="Q50" s="17">
        <f t="shared" si="9"/>
        <v>23978</v>
      </c>
      <c r="R50" s="15"/>
      <c r="S50" s="15"/>
      <c r="T50" s="17">
        <f t="shared" si="4"/>
        <v>24062.800000000003</v>
      </c>
      <c r="U50" s="15">
        <v>20237</v>
      </c>
      <c r="V50" s="34">
        <v>21331.8</v>
      </c>
      <c r="W50" s="15">
        <v>19735.8</v>
      </c>
      <c r="X50" s="15">
        <v>23076.2</v>
      </c>
      <c r="Y50" s="15">
        <v>23279</v>
      </c>
      <c r="Z50" s="15">
        <v>28275</v>
      </c>
      <c r="AA50" s="15">
        <v>34965</v>
      </c>
      <c r="AB50" s="15">
        <v>23978</v>
      </c>
      <c r="AC50" s="15"/>
      <c r="AD50" s="15"/>
      <c r="AE50" s="15"/>
      <c r="AF50" s="160"/>
      <c r="AG50" s="186"/>
      <c r="AH50" s="181">
        <v>64</v>
      </c>
      <c r="AI50" s="15">
        <f t="shared" si="10"/>
        <v>194877.8</v>
      </c>
      <c r="AJ50" s="177">
        <f t="shared" si="5"/>
        <v>194941.8</v>
      </c>
      <c r="AK50" s="16">
        <f t="shared" si="6"/>
        <v>170879</v>
      </c>
      <c r="AL50" s="16">
        <f t="shared" si="11"/>
        <v>24062.800000000003</v>
      </c>
    </row>
    <row r="51" spans="1:38" x14ac:dyDescent="0.25">
      <c r="A51" s="163">
        <v>49</v>
      </c>
      <c r="B51" s="27" t="s">
        <v>311</v>
      </c>
      <c r="C51" s="28">
        <v>1050551325</v>
      </c>
      <c r="D51" s="6" t="s">
        <v>194</v>
      </c>
      <c r="E51" s="2"/>
      <c r="F51" s="51">
        <v>-30.399999999986903</v>
      </c>
      <c r="G51" s="6" t="s">
        <v>416</v>
      </c>
      <c r="H51" s="18">
        <v>45908</v>
      </c>
      <c r="I51" s="2" t="s">
        <v>118</v>
      </c>
      <c r="J51" s="2">
        <v>388638</v>
      </c>
      <c r="K51" s="2">
        <v>401308</v>
      </c>
      <c r="L51" s="7">
        <f t="shared" si="12"/>
        <v>12.67</v>
      </c>
      <c r="M51" s="15">
        <v>1000</v>
      </c>
      <c r="N51" s="17">
        <f t="shared" si="3"/>
        <v>12670</v>
      </c>
      <c r="O51" s="15"/>
      <c r="P51" s="15">
        <v>7000</v>
      </c>
      <c r="Q51" s="17">
        <f t="shared" si="9"/>
        <v>19670</v>
      </c>
      <c r="R51" s="15"/>
      <c r="S51" s="15"/>
      <c r="T51" s="17">
        <f t="shared" si="4"/>
        <v>19639.600000000013</v>
      </c>
      <c r="U51" s="15">
        <v>16003.4</v>
      </c>
      <c r="V51" s="34">
        <v>18136.300000000003</v>
      </c>
      <c r="W51" s="15">
        <v>17490.900000000001</v>
      </c>
      <c r="X51" s="15">
        <v>19036.5</v>
      </c>
      <c r="Y51" s="15">
        <v>22435</v>
      </c>
      <c r="Z51" s="15">
        <v>28159</v>
      </c>
      <c r="AA51" s="15">
        <v>15962</v>
      </c>
      <c r="AB51" s="15">
        <v>19670</v>
      </c>
      <c r="AC51" s="15"/>
      <c r="AD51" s="15"/>
      <c r="AE51" s="15"/>
      <c r="AF51" s="160"/>
      <c r="AG51" s="186"/>
      <c r="AH51" s="181">
        <v>-53.499999999989086</v>
      </c>
      <c r="AI51" s="15">
        <f t="shared" si="10"/>
        <v>156893.1</v>
      </c>
      <c r="AJ51" s="177">
        <f t="shared" si="5"/>
        <v>156839.6</v>
      </c>
      <c r="AK51" s="16">
        <f t="shared" si="6"/>
        <v>137200</v>
      </c>
      <c r="AL51" s="16">
        <f t="shared" si="11"/>
        <v>19639.600000000013</v>
      </c>
    </row>
    <row r="52" spans="1:38" s="194" customFormat="1" x14ac:dyDescent="0.25">
      <c r="A52" s="163">
        <v>50</v>
      </c>
      <c r="B52" s="39" t="s">
        <v>312</v>
      </c>
      <c r="C52" s="57">
        <v>1050919786</v>
      </c>
      <c r="D52" s="40" t="s">
        <v>195</v>
      </c>
      <c r="E52" s="41"/>
      <c r="F52" s="58">
        <v>23187.4</v>
      </c>
      <c r="G52" s="6" t="s">
        <v>417</v>
      </c>
      <c r="H52" s="18">
        <v>45908</v>
      </c>
      <c r="I52" s="2" t="s">
        <v>118</v>
      </c>
      <c r="J52" s="41">
        <v>68862</v>
      </c>
      <c r="K52" s="41">
        <v>70503</v>
      </c>
      <c r="L52" s="156">
        <f t="shared" si="12"/>
        <v>1.641</v>
      </c>
      <c r="M52" s="15">
        <v>1000</v>
      </c>
      <c r="N52" s="17">
        <v>3000</v>
      </c>
      <c r="O52" s="157"/>
      <c r="P52" s="157">
        <v>1000</v>
      </c>
      <c r="Q52" s="158">
        <f t="shared" si="9"/>
        <v>4000</v>
      </c>
      <c r="R52" s="157"/>
      <c r="S52" s="157"/>
      <c r="T52" s="158">
        <f t="shared" si="4"/>
        <v>27187.4</v>
      </c>
      <c r="U52" s="157">
        <v>2700</v>
      </c>
      <c r="V52" s="34">
        <v>2700</v>
      </c>
      <c r="W52" s="157">
        <v>2700</v>
      </c>
      <c r="X52" s="157">
        <v>2948.4</v>
      </c>
      <c r="Y52" s="157">
        <v>5188</v>
      </c>
      <c r="Z52" s="157">
        <v>4276</v>
      </c>
      <c r="AA52" s="157">
        <v>8075</v>
      </c>
      <c r="AB52" s="157">
        <v>4000</v>
      </c>
      <c r="AC52" s="157"/>
      <c r="AD52" s="157"/>
      <c r="AE52" s="157"/>
      <c r="AF52" s="162"/>
      <c r="AG52" s="188"/>
      <c r="AH52" s="183">
        <v>2000</v>
      </c>
      <c r="AI52" s="157">
        <f t="shared" si="10"/>
        <v>32587.4</v>
      </c>
      <c r="AJ52" s="177">
        <f t="shared" si="5"/>
        <v>34587.4</v>
      </c>
      <c r="AK52" s="16">
        <f t="shared" si="6"/>
        <v>7400</v>
      </c>
      <c r="AL52" s="174">
        <f t="shared" si="11"/>
        <v>27187.4</v>
      </c>
    </row>
    <row r="53" spans="1:38" x14ac:dyDescent="0.25">
      <c r="A53" s="4">
        <v>51</v>
      </c>
      <c r="B53" s="27" t="s">
        <v>313</v>
      </c>
      <c r="C53" s="28">
        <v>23148760</v>
      </c>
      <c r="D53" s="6" t="s">
        <v>196</v>
      </c>
      <c r="E53" s="2"/>
      <c r="F53" s="51">
        <v>127.10000000000582</v>
      </c>
      <c r="G53" s="6" t="s">
        <v>418</v>
      </c>
      <c r="H53" s="18">
        <v>45908</v>
      </c>
      <c r="I53" s="2" t="s">
        <v>118</v>
      </c>
      <c r="J53" s="2">
        <v>491560</v>
      </c>
      <c r="K53" s="2">
        <v>525916</v>
      </c>
      <c r="L53" s="7">
        <f t="shared" si="12"/>
        <v>34.356000000000002</v>
      </c>
      <c r="M53" s="15">
        <v>1000</v>
      </c>
      <c r="N53" s="17">
        <f t="shared" si="3"/>
        <v>34356</v>
      </c>
      <c r="O53" s="15"/>
      <c r="P53" s="15">
        <v>7000</v>
      </c>
      <c r="Q53" s="17">
        <f t="shared" si="9"/>
        <v>41356</v>
      </c>
      <c r="R53" s="15"/>
      <c r="S53" s="15"/>
      <c r="T53" s="17">
        <f t="shared" si="4"/>
        <v>41483.100000000006</v>
      </c>
      <c r="U53" s="15">
        <v>27333.599999999999</v>
      </c>
      <c r="V53" s="34">
        <v>27174</v>
      </c>
      <c r="W53" s="15">
        <v>32000.500000000004</v>
      </c>
      <c r="X53" s="15">
        <v>39132.800000000003</v>
      </c>
      <c r="Y53" s="15">
        <v>45284</v>
      </c>
      <c r="Z53" s="15">
        <v>36821</v>
      </c>
      <c r="AA53" s="15">
        <v>43926</v>
      </c>
      <c r="AB53" s="15">
        <v>41356</v>
      </c>
      <c r="AC53" s="15"/>
      <c r="AD53" s="15"/>
      <c r="AE53" s="15"/>
      <c r="AF53" s="160"/>
      <c r="AG53" s="186"/>
      <c r="AH53" s="181">
        <v>55.199999999998909</v>
      </c>
      <c r="AI53" s="15">
        <f t="shared" si="10"/>
        <v>293027.90000000002</v>
      </c>
      <c r="AJ53" s="177">
        <f t="shared" si="5"/>
        <v>293083.10000000003</v>
      </c>
      <c r="AK53" s="16">
        <f t="shared" si="6"/>
        <v>251600.00000000003</v>
      </c>
      <c r="AL53" s="16">
        <f t="shared" si="11"/>
        <v>41483.100000000006</v>
      </c>
    </row>
    <row r="54" spans="1:38" s="194" customFormat="1" x14ac:dyDescent="0.25">
      <c r="A54" s="4">
        <v>52</v>
      </c>
      <c r="B54" s="39" t="s">
        <v>144</v>
      </c>
      <c r="C54" s="141"/>
      <c r="D54" s="40" t="s">
        <v>197</v>
      </c>
      <c r="E54" s="41"/>
      <c r="F54" s="58">
        <v>42295.7</v>
      </c>
      <c r="G54" s="6" t="s">
        <v>419</v>
      </c>
      <c r="H54" s="18">
        <v>45908</v>
      </c>
      <c r="I54" s="2" t="s">
        <v>118</v>
      </c>
      <c r="J54" s="41">
        <v>152002</v>
      </c>
      <c r="K54" s="41">
        <v>160579</v>
      </c>
      <c r="L54" s="156">
        <f t="shared" si="12"/>
        <v>8.577</v>
      </c>
      <c r="M54" s="15">
        <v>1000</v>
      </c>
      <c r="N54" s="17">
        <f t="shared" si="3"/>
        <v>8577</v>
      </c>
      <c r="O54" s="157"/>
      <c r="P54" s="157">
        <v>7000</v>
      </c>
      <c r="Q54" s="158">
        <f t="shared" si="9"/>
        <v>15577</v>
      </c>
      <c r="R54" s="157"/>
      <c r="S54" s="157"/>
      <c r="T54" s="158">
        <f t="shared" si="4"/>
        <v>57872.7</v>
      </c>
      <c r="U54" s="157">
        <v>2700</v>
      </c>
      <c r="V54" s="34">
        <v>2700</v>
      </c>
      <c r="W54" s="157">
        <v>2700</v>
      </c>
      <c r="X54" s="157">
        <v>9820.2999999999993</v>
      </c>
      <c r="Y54" s="157">
        <v>29907</v>
      </c>
      <c r="Z54" s="157">
        <v>23481</v>
      </c>
      <c r="AA54" s="157">
        <v>39666</v>
      </c>
      <c r="AB54" s="157">
        <v>15577</v>
      </c>
      <c r="AC54" s="157"/>
      <c r="AD54" s="157"/>
      <c r="AE54" s="157"/>
      <c r="AF54" s="162"/>
      <c r="AG54" s="188"/>
      <c r="AH54" s="183">
        <v>14021.4</v>
      </c>
      <c r="AI54" s="157">
        <f t="shared" si="10"/>
        <v>126551.3</v>
      </c>
      <c r="AJ54" s="177">
        <f t="shared" si="5"/>
        <v>140572.70000000001</v>
      </c>
      <c r="AK54" s="16">
        <f t="shared" si="6"/>
        <v>82700.000000000015</v>
      </c>
      <c r="AL54" s="174">
        <f t="shared" si="11"/>
        <v>57872.7</v>
      </c>
    </row>
    <row r="55" spans="1:38" x14ac:dyDescent="0.25">
      <c r="A55" s="167">
        <v>53</v>
      </c>
      <c r="B55" s="27" t="s">
        <v>349</v>
      </c>
      <c r="C55" s="29"/>
      <c r="D55" s="6" t="s">
        <v>250</v>
      </c>
      <c r="E55" s="2"/>
      <c r="F55" s="51">
        <v>288539</v>
      </c>
      <c r="G55" s="6" t="s">
        <v>420</v>
      </c>
      <c r="H55" s="18">
        <v>45908</v>
      </c>
      <c r="I55" s="2" t="s">
        <v>118</v>
      </c>
      <c r="J55" s="2">
        <v>972708</v>
      </c>
      <c r="K55" s="2">
        <v>1042936</v>
      </c>
      <c r="L55" s="7">
        <f t="shared" si="12"/>
        <v>70.227999999999994</v>
      </c>
      <c r="M55" s="15">
        <v>1000</v>
      </c>
      <c r="N55" s="17">
        <f t="shared" si="3"/>
        <v>70228</v>
      </c>
      <c r="O55" s="15"/>
      <c r="P55" s="15"/>
      <c r="Q55" s="17">
        <f t="shared" si="9"/>
        <v>70228</v>
      </c>
      <c r="R55" s="15"/>
      <c r="S55" s="15"/>
      <c r="T55" s="17">
        <f t="shared" si="4"/>
        <v>358767</v>
      </c>
      <c r="U55" s="15">
        <v>47758.2</v>
      </c>
      <c r="V55" s="34">
        <v>36827</v>
      </c>
      <c r="W55" s="15">
        <v>42078.400000000001</v>
      </c>
      <c r="X55" s="15">
        <v>34980.400000000001</v>
      </c>
      <c r="Y55" s="15">
        <v>122891</v>
      </c>
      <c r="Z55" s="15">
        <v>86194</v>
      </c>
      <c r="AA55" s="15">
        <v>77920</v>
      </c>
      <c r="AB55" s="15">
        <v>70228</v>
      </c>
      <c r="AC55" s="15"/>
      <c r="AD55" s="15"/>
      <c r="AE55" s="15"/>
      <c r="AF55" s="160"/>
      <c r="AG55" s="186"/>
      <c r="AH55" s="181">
        <v>45590</v>
      </c>
      <c r="AI55" s="15">
        <f t="shared" si="10"/>
        <v>518877</v>
      </c>
      <c r="AJ55" s="177">
        <f t="shared" si="5"/>
        <v>564467</v>
      </c>
      <c r="AK55" s="16">
        <f t="shared" si="6"/>
        <v>205700</v>
      </c>
      <c r="AL55" s="16">
        <f t="shared" si="11"/>
        <v>358767</v>
      </c>
    </row>
    <row r="56" spans="1:38" s="194" customFormat="1" x14ac:dyDescent="0.25">
      <c r="A56" s="163">
        <v>54</v>
      </c>
      <c r="B56" s="39" t="s">
        <v>145</v>
      </c>
      <c r="C56" s="141"/>
      <c r="D56" s="40" t="s">
        <v>198</v>
      </c>
      <c r="E56" s="41"/>
      <c r="F56" s="58">
        <v>46231</v>
      </c>
      <c r="G56" s="6" t="s">
        <v>421</v>
      </c>
      <c r="H56" s="18">
        <v>45908</v>
      </c>
      <c r="I56" s="2" t="s">
        <v>118</v>
      </c>
      <c r="J56" s="41">
        <v>103079</v>
      </c>
      <c r="K56" s="41">
        <v>107987</v>
      </c>
      <c r="L56" s="156">
        <f t="shared" si="12"/>
        <v>4.9080000000000004</v>
      </c>
      <c r="M56" s="15">
        <v>1000</v>
      </c>
      <c r="N56" s="17">
        <f t="shared" si="3"/>
        <v>4908</v>
      </c>
      <c r="O56" s="157"/>
      <c r="P56" s="157">
        <v>7000</v>
      </c>
      <c r="Q56" s="158">
        <f t="shared" si="9"/>
        <v>11908</v>
      </c>
      <c r="R56" s="157"/>
      <c r="S56" s="157"/>
      <c r="T56" s="158">
        <f t="shared" si="4"/>
        <v>58139</v>
      </c>
      <c r="U56" s="157">
        <v>2700</v>
      </c>
      <c r="V56" s="34">
        <v>2700</v>
      </c>
      <c r="W56" s="157">
        <v>2700</v>
      </c>
      <c r="X56" s="157">
        <v>2700</v>
      </c>
      <c r="Y56" s="157">
        <v>4000</v>
      </c>
      <c r="Z56" s="157">
        <v>4000</v>
      </c>
      <c r="AA56" s="157">
        <v>7131</v>
      </c>
      <c r="AB56" s="157">
        <v>11908</v>
      </c>
      <c r="AC56" s="157"/>
      <c r="AD56" s="157"/>
      <c r="AE56" s="157"/>
      <c r="AF56" s="162"/>
      <c r="AG56" s="188"/>
      <c r="AH56" s="183">
        <v>21000</v>
      </c>
      <c r="AI56" s="157">
        <f t="shared" si="10"/>
        <v>37839</v>
      </c>
      <c r="AJ56" s="177">
        <f t="shared" si="5"/>
        <v>58839</v>
      </c>
      <c r="AK56" s="16">
        <f t="shared" si="6"/>
        <v>700</v>
      </c>
      <c r="AL56" s="174">
        <f t="shared" si="11"/>
        <v>58139</v>
      </c>
    </row>
    <row r="57" spans="1:38" x14ac:dyDescent="0.25">
      <c r="A57" s="163">
        <v>55</v>
      </c>
      <c r="B57" s="27" t="s">
        <v>88</v>
      </c>
      <c r="C57" s="28">
        <v>1050922793</v>
      </c>
      <c r="D57" s="6" t="s">
        <v>199</v>
      </c>
      <c r="E57" s="2"/>
      <c r="F57" s="51">
        <v>19.80000000000291</v>
      </c>
      <c r="G57" s="6" t="s">
        <v>422</v>
      </c>
      <c r="H57" s="18">
        <v>45908</v>
      </c>
      <c r="I57" s="2" t="s">
        <v>118</v>
      </c>
      <c r="J57" s="2">
        <v>581161</v>
      </c>
      <c r="K57" s="2">
        <v>606602</v>
      </c>
      <c r="L57" s="7">
        <f>(K57-J57)/1000</f>
        <v>25.440999999999999</v>
      </c>
      <c r="M57" s="15">
        <v>1000</v>
      </c>
      <c r="N57" s="17">
        <f t="shared" si="3"/>
        <v>25441</v>
      </c>
      <c r="O57" s="15"/>
      <c r="P57" s="15">
        <v>7000</v>
      </c>
      <c r="Q57" s="17">
        <f t="shared" si="9"/>
        <v>32441</v>
      </c>
      <c r="R57" s="15"/>
      <c r="S57" s="15"/>
      <c r="T57" s="17">
        <f t="shared" si="4"/>
        <v>32460.800000000003</v>
      </c>
      <c r="U57" s="15">
        <v>26595.1</v>
      </c>
      <c r="V57" s="34">
        <v>30815.399999999998</v>
      </c>
      <c r="W57" s="15">
        <v>23359.699999999997</v>
      </c>
      <c r="X57" s="15">
        <v>30925.300000000003</v>
      </c>
      <c r="Y57" s="15">
        <v>28468</v>
      </c>
      <c r="Z57" s="15">
        <v>33920</v>
      </c>
      <c r="AA57" s="15">
        <v>35144</v>
      </c>
      <c r="AB57" s="15">
        <v>32441</v>
      </c>
      <c r="AC57" s="15"/>
      <c r="AD57" s="15"/>
      <c r="AE57" s="15"/>
      <c r="AF57" s="160"/>
      <c r="AG57" s="186"/>
      <c r="AH57" s="181">
        <v>35.30000000000291</v>
      </c>
      <c r="AI57" s="15">
        <f t="shared" si="10"/>
        <v>241668.5</v>
      </c>
      <c r="AJ57" s="177">
        <f t="shared" si="5"/>
        <v>241703.8</v>
      </c>
      <c r="AK57" s="16">
        <f t="shared" si="6"/>
        <v>209243</v>
      </c>
      <c r="AL57" s="16">
        <f t="shared" si="11"/>
        <v>32460.800000000003</v>
      </c>
    </row>
    <row r="58" spans="1:38" x14ac:dyDescent="0.25">
      <c r="A58" s="4">
        <v>56</v>
      </c>
      <c r="B58" s="27" t="s">
        <v>89</v>
      </c>
      <c r="C58" s="28">
        <v>7982037</v>
      </c>
      <c r="D58" s="6" t="s">
        <v>179</v>
      </c>
      <c r="E58" s="2"/>
      <c r="F58" s="51">
        <v>-12.19999999999709</v>
      </c>
      <c r="G58" s="6" t="s">
        <v>423</v>
      </c>
      <c r="H58" s="18">
        <v>45908</v>
      </c>
      <c r="I58" s="2" t="s">
        <v>118</v>
      </c>
      <c r="J58" s="2">
        <v>130965</v>
      </c>
      <c r="K58" s="2">
        <v>134406</v>
      </c>
      <c r="L58" s="7">
        <f>(K58-J58)/1000</f>
        <v>3.4409999999999998</v>
      </c>
      <c r="M58" s="15">
        <v>1000</v>
      </c>
      <c r="N58" s="17">
        <f t="shared" si="3"/>
        <v>3441</v>
      </c>
      <c r="O58" s="15"/>
      <c r="P58" s="15">
        <v>7000</v>
      </c>
      <c r="Q58" s="17">
        <f t="shared" si="9"/>
        <v>10441</v>
      </c>
      <c r="R58" s="15"/>
      <c r="S58" s="15"/>
      <c r="T58" s="17">
        <f t="shared" si="4"/>
        <v>10428.800000000003</v>
      </c>
      <c r="U58" s="15">
        <v>13178.2</v>
      </c>
      <c r="V58" s="34">
        <v>11204.2</v>
      </c>
      <c r="W58" s="15">
        <v>10137.4</v>
      </c>
      <c r="X58" s="15">
        <v>10244.5</v>
      </c>
      <c r="Y58" s="15">
        <v>11603</v>
      </c>
      <c r="Z58" s="15">
        <v>13358</v>
      </c>
      <c r="AA58" s="15">
        <v>17653</v>
      </c>
      <c r="AB58" s="15">
        <v>10441</v>
      </c>
      <c r="AC58" s="15"/>
      <c r="AD58" s="15"/>
      <c r="AE58" s="15"/>
      <c r="AF58" s="160"/>
      <c r="AG58" s="186"/>
      <c r="AH58" s="181">
        <v>62.500000000001819</v>
      </c>
      <c r="AI58" s="15">
        <f t="shared" si="10"/>
        <v>97819.3</v>
      </c>
      <c r="AJ58" s="177">
        <f t="shared" si="5"/>
        <v>97881.8</v>
      </c>
      <c r="AK58" s="16">
        <f t="shared" si="6"/>
        <v>87453</v>
      </c>
      <c r="AL58" s="16">
        <f t="shared" si="11"/>
        <v>10428.800000000003</v>
      </c>
    </row>
    <row r="59" spans="1:38" x14ac:dyDescent="0.25">
      <c r="A59" s="4">
        <v>57</v>
      </c>
      <c r="B59" s="27" t="s">
        <v>50</v>
      </c>
      <c r="C59" s="28">
        <v>63460471</v>
      </c>
      <c r="D59" s="6" t="s">
        <v>200</v>
      </c>
      <c r="E59" s="2"/>
      <c r="F59" s="51">
        <v>28605.999999999942</v>
      </c>
      <c r="G59" s="6" t="s">
        <v>424</v>
      </c>
      <c r="H59" s="18">
        <v>45908</v>
      </c>
      <c r="I59" s="2" t="s">
        <v>118</v>
      </c>
      <c r="J59" s="2">
        <v>524859</v>
      </c>
      <c r="K59" s="2">
        <v>545027</v>
      </c>
      <c r="L59" s="7">
        <f t="shared" si="12"/>
        <v>20.167999999999999</v>
      </c>
      <c r="M59" s="15">
        <v>1000</v>
      </c>
      <c r="N59" s="17">
        <f t="shared" si="3"/>
        <v>20168</v>
      </c>
      <c r="O59" s="15"/>
      <c r="P59" s="157">
        <v>7000</v>
      </c>
      <c r="Q59" s="17">
        <f t="shared" si="9"/>
        <v>27168</v>
      </c>
      <c r="R59" s="15"/>
      <c r="S59" s="15"/>
      <c r="T59" s="17">
        <f t="shared" si="4"/>
        <v>55773.999999999942</v>
      </c>
      <c r="U59" s="15">
        <v>24844.400000000001</v>
      </c>
      <c r="V59" s="34">
        <v>19536.3</v>
      </c>
      <c r="W59" s="15">
        <v>14251.3</v>
      </c>
      <c r="X59" s="15">
        <v>24457.3</v>
      </c>
      <c r="Y59" s="15">
        <v>32576</v>
      </c>
      <c r="Z59" s="15">
        <v>30103</v>
      </c>
      <c r="AA59" s="15">
        <v>33134</v>
      </c>
      <c r="AB59" s="15">
        <v>27168</v>
      </c>
      <c r="AC59" s="15"/>
      <c r="AD59" s="15"/>
      <c r="AE59" s="15"/>
      <c r="AF59" s="160"/>
      <c r="AG59" s="186"/>
      <c r="AH59" s="181">
        <v>119603.69999999998</v>
      </c>
      <c r="AI59" s="15">
        <f t="shared" si="10"/>
        <v>206070.3</v>
      </c>
      <c r="AJ59" s="177">
        <f t="shared" si="5"/>
        <v>325674</v>
      </c>
      <c r="AK59" s="16">
        <f t="shared" si="6"/>
        <v>269900.00000000006</v>
      </c>
      <c r="AL59" s="16">
        <f t="shared" si="11"/>
        <v>55773.999999999942</v>
      </c>
    </row>
    <row r="60" spans="1:38" x14ac:dyDescent="0.25">
      <c r="A60" s="167">
        <v>58</v>
      </c>
      <c r="B60" s="39" t="s">
        <v>314</v>
      </c>
      <c r="C60" s="57">
        <v>1096182507</v>
      </c>
      <c r="D60" s="40" t="s">
        <v>248</v>
      </c>
      <c r="E60" s="41"/>
      <c r="F60" s="58">
        <v>37637.200000000004</v>
      </c>
      <c r="G60" s="6" t="s">
        <v>425</v>
      </c>
      <c r="H60" s="18">
        <v>45908</v>
      </c>
      <c r="I60" s="2" t="s">
        <v>118</v>
      </c>
      <c r="J60" s="41">
        <v>229336</v>
      </c>
      <c r="K60" s="41">
        <v>229336</v>
      </c>
      <c r="L60" s="7">
        <f t="shared" si="12"/>
        <v>0</v>
      </c>
      <c r="M60" s="15">
        <v>1000</v>
      </c>
      <c r="N60" s="17">
        <v>3000</v>
      </c>
      <c r="O60" s="15"/>
      <c r="P60" s="15">
        <v>1000</v>
      </c>
      <c r="Q60" s="17">
        <f t="shared" si="9"/>
        <v>4000</v>
      </c>
      <c r="R60" s="15"/>
      <c r="S60" s="15"/>
      <c r="T60" s="17">
        <f t="shared" si="4"/>
        <v>41637.200000000004</v>
      </c>
      <c r="U60" s="15">
        <v>7742.7</v>
      </c>
      <c r="V60" s="34">
        <v>6161.4</v>
      </c>
      <c r="W60" s="15">
        <v>3083.5</v>
      </c>
      <c r="X60" s="15">
        <v>4629.1000000000004</v>
      </c>
      <c r="Y60" s="15">
        <v>9787</v>
      </c>
      <c r="Z60" s="15">
        <v>213</v>
      </c>
      <c r="AA60" s="15">
        <v>3000</v>
      </c>
      <c r="AB60" s="15">
        <v>4000</v>
      </c>
      <c r="AC60" s="15"/>
      <c r="AD60" s="15"/>
      <c r="AE60" s="15"/>
      <c r="AF60" s="160"/>
      <c r="AG60" s="186"/>
      <c r="AH60" s="181">
        <v>3020.5000000000073</v>
      </c>
      <c r="AI60" s="15">
        <f t="shared" si="10"/>
        <v>38616.699999999997</v>
      </c>
      <c r="AJ60" s="177">
        <f t="shared" si="5"/>
        <v>41637.200000000004</v>
      </c>
      <c r="AK60" s="16">
        <f t="shared" si="6"/>
        <v>0</v>
      </c>
      <c r="AL60" s="16">
        <f t="shared" si="11"/>
        <v>41637.200000000004</v>
      </c>
    </row>
    <row r="61" spans="1:38" s="194" customFormat="1" x14ac:dyDescent="0.25">
      <c r="A61" s="163">
        <v>59</v>
      </c>
      <c r="B61" s="39" t="s">
        <v>315</v>
      </c>
      <c r="C61" s="57"/>
      <c r="D61" s="40" t="s">
        <v>268</v>
      </c>
      <c r="E61" s="41"/>
      <c r="F61" s="58">
        <v>47749</v>
      </c>
      <c r="G61" s="6" t="s">
        <v>426</v>
      </c>
      <c r="H61" s="18">
        <v>45908</v>
      </c>
      <c r="I61" s="2" t="s">
        <v>118</v>
      </c>
      <c r="J61" s="41">
        <v>112359</v>
      </c>
      <c r="K61" s="41">
        <v>113100</v>
      </c>
      <c r="L61" s="156">
        <f t="shared" si="12"/>
        <v>0.74099999999999999</v>
      </c>
      <c r="M61" s="15">
        <v>1000</v>
      </c>
      <c r="N61" s="17">
        <v>3000</v>
      </c>
      <c r="O61" s="157"/>
      <c r="P61" s="157"/>
      <c r="Q61" s="158">
        <f t="shared" si="9"/>
        <v>3000</v>
      </c>
      <c r="R61" s="157"/>
      <c r="S61" s="157"/>
      <c r="T61" s="158">
        <f t="shared" si="4"/>
        <v>50749</v>
      </c>
      <c r="U61" s="157">
        <v>2700</v>
      </c>
      <c r="V61" s="34">
        <v>2700</v>
      </c>
      <c r="W61" s="157">
        <v>4495.3999999999996</v>
      </c>
      <c r="X61" s="157">
        <v>5002.2</v>
      </c>
      <c r="Y61" s="157">
        <v>10777</v>
      </c>
      <c r="Z61" s="157">
        <v>0</v>
      </c>
      <c r="AA61" s="157">
        <v>3000</v>
      </c>
      <c r="AB61" s="157">
        <v>3000</v>
      </c>
      <c r="AC61" s="157"/>
      <c r="AD61" s="157"/>
      <c r="AE61" s="157"/>
      <c r="AF61" s="162"/>
      <c r="AG61" s="188"/>
      <c r="AH61" s="183">
        <v>19074.099999999999</v>
      </c>
      <c r="AI61" s="157">
        <f t="shared" si="10"/>
        <v>31674.6</v>
      </c>
      <c r="AJ61" s="177">
        <f t="shared" si="5"/>
        <v>50748.7</v>
      </c>
      <c r="AK61" s="16">
        <f t="shared" si="6"/>
        <v>-0.30000000000291038</v>
      </c>
      <c r="AL61" s="174">
        <f t="shared" si="11"/>
        <v>50749</v>
      </c>
    </row>
    <row r="62" spans="1:38" x14ac:dyDescent="0.25">
      <c r="A62" s="163">
        <v>60</v>
      </c>
      <c r="B62" s="39" t="s">
        <v>252</v>
      </c>
      <c r="C62" s="28"/>
      <c r="D62" s="40" t="s">
        <v>253</v>
      </c>
      <c r="E62" s="2"/>
      <c r="F62" s="51">
        <v>51308.600000000006</v>
      </c>
      <c r="G62" s="6" t="s">
        <v>427</v>
      </c>
      <c r="H62" s="18">
        <v>45908</v>
      </c>
      <c r="I62" s="2" t="s">
        <v>118</v>
      </c>
      <c r="J62" s="2">
        <v>611859</v>
      </c>
      <c r="K62" s="2">
        <v>638658</v>
      </c>
      <c r="L62" s="7">
        <f t="shared" si="12"/>
        <v>26.798999999999999</v>
      </c>
      <c r="M62" s="15">
        <v>1000</v>
      </c>
      <c r="N62" s="17">
        <f t="shared" si="3"/>
        <v>26799</v>
      </c>
      <c r="O62" s="15"/>
      <c r="P62" s="15">
        <v>7000</v>
      </c>
      <c r="Q62" s="17">
        <f t="shared" si="9"/>
        <v>33799</v>
      </c>
      <c r="R62" s="15"/>
      <c r="S62" s="15"/>
      <c r="T62" s="17">
        <f t="shared" si="4"/>
        <v>85107.6</v>
      </c>
      <c r="U62" s="15">
        <v>24663.100000000002</v>
      </c>
      <c r="V62" s="34">
        <v>30177</v>
      </c>
      <c r="W62" s="15">
        <v>25057.9</v>
      </c>
      <c r="X62" s="15">
        <v>30853.200000000001</v>
      </c>
      <c r="Y62" s="15">
        <v>34169</v>
      </c>
      <c r="Z62" s="15">
        <v>36937</v>
      </c>
      <c r="AA62" s="15">
        <v>44114</v>
      </c>
      <c r="AB62" s="15">
        <v>33799</v>
      </c>
      <c r="AC62" s="15"/>
      <c r="AD62" s="15"/>
      <c r="AE62" s="15"/>
      <c r="AF62" s="160"/>
      <c r="AG62" s="186"/>
      <c r="AH62" s="181">
        <v>16837.400000000001</v>
      </c>
      <c r="AI62" s="15">
        <f t="shared" si="10"/>
        <v>259770.2</v>
      </c>
      <c r="AJ62" s="177">
        <f t="shared" si="5"/>
        <v>276607.60000000003</v>
      </c>
      <c r="AK62" s="16">
        <f t="shared" si="6"/>
        <v>191500.00000000003</v>
      </c>
      <c r="AL62" s="16">
        <f t="shared" si="11"/>
        <v>85107.6</v>
      </c>
    </row>
    <row r="63" spans="1:38" s="195" customFormat="1" x14ac:dyDescent="0.25">
      <c r="A63" s="4">
        <v>61</v>
      </c>
      <c r="B63" s="42" t="s">
        <v>146</v>
      </c>
      <c r="C63" s="55"/>
      <c r="D63" s="33" t="s">
        <v>251</v>
      </c>
      <c r="E63" s="36"/>
      <c r="F63" s="56">
        <v>0</v>
      </c>
      <c r="G63" s="33"/>
      <c r="H63" s="18">
        <v>45908</v>
      </c>
      <c r="I63" s="2" t="s">
        <v>118</v>
      </c>
      <c r="J63" s="36">
        <v>344</v>
      </c>
      <c r="K63" s="36">
        <v>344</v>
      </c>
      <c r="L63" s="151">
        <f t="shared" si="12"/>
        <v>0</v>
      </c>
      <c r="M63" s="15">
        <v>1000</v>
      </c>
      <c r="N63" s="153">
        <f t="shared" si="3"/>
        <v>0</v>
      </c>
      <c r="O63" s="152"/>
      <c r="P63" s="152"/>
      <c r="Q63" s="17">
        <f t="shared" si="9"/>
        <v>0</v>
      </c>
      <c r="R63" s="152"/>
      <c r="S63" s="152"/>
      <c r="T63" s="153">
        <f t="shared" si="4"/>
        <v>0</v>
      </c>
      <c r="U63" s="152">
        <v>0</v>
      </c>
      <c r="V63" s="154">
        <v>0</v>
      </c>
      <c r="W63" s="152">
        <v>0</v>
      </c>
      <c r="X63" s="152">
        <v>0</v>
      </c>
      <c r="Y63" s="152">
        <v>0</v>
      </c>
      <c r="Z63" s="152">
        <v>0</v>
      </c>
      <c r="AA63" s="152">
        <v>0</v>
      </c>
      <c r="AB63" s="152">
        <v>0</v>
      </c>
      <c r="AC63" s="152"/>
      <c r="AD63" s="152"/>
      <c r="AE63" s="152"/>
      <c r="AF63" s="161"/>
      <c r="AG63" s="189"/>
      <c r="AH63" s="184">
        <v>0</v>
      </c>
      <c r="AI63" s="15">
        <f t="shared" si="10"/>
        <v>0</v>
      </c>
      <c r="AJ63" s="177">
        <f t="shared" si="5"/>
        <v>0</v>
      </c>
      <c r="AK63" s="16">
        <f t="shared" si="6"/>
        <v>0</v>
      </c>
      <c r="AL63" s="16">
        <f t="shared" si="11"/>
        <v>0</v>
      </c>
    </row>
    <row r="64" spans="1:38" s="194" customFormat="1" x14ac:dyDescent="0.25">
      <c r="A64" s="163">
        <v>62</v>
      </c>
      <c r="B64" s="39" t="s">
        <v>51</v>
      </c>
      <c r="C64" s="57">
        <v>60413531</v>
      </c>
      <c r="D64" s="40" t="s">
        <v>202</v>
      </c>
      <c r="E64" s="41"/>
      <c r="F64" s="58">
        <v>57038.5</v>
      </c>
      <c r="G64" s="40" t="s">
        <v>428</v>
      </c>
      <c r="H64" s="18">
        <v>45908</v>
      </c>
      <c r="I64" s="2" t="s">
        <v>118</v>
      </c>
      <c r="J64" s="41">
        <v>581864</v>
      </c>
      <c r="K64" s="41">
        <v>601849</v>
      </c>
      <c r="L64" s="156">
        <f t="shared" si="12"/>
        <v>19.984999999999999</v>
      </c>
      <c r="M64" s="15">
        <v>1000</v>
      </c>
      <c r="N64" s="158">
        <f t="shared" si="3"/>
        <v>19985</v>
      </c>
      <c r="O64" s="157"/>
      <c r="P64" s="157">
        <v>7000</v>
      </c>
      <c r="Q64" s="158">
        <f t="shared" si="9"/>
        <v>26985</v>
      </c>
      <c r="R64" s="157"/>
      <c r="S64" s="157"/>
      <c r="T64" s="158">
        <f t="shared" si="4"/>
        <v>84023.5</v>
      </c>
      <c r="U64" s="157">
        <v>25559.100000000002</v>
      </c>
      <c r="V64" s="34">
        <v>29050.7</v>
      </c>
      <c r="W64" s="157">
        <v>24674.3</v>
      </c>
      <c r="X64" s="157">
        <v>22973.3</v>
      </c>
      <c r="Y64" s="157">
        <v>29991</v>
      </c>
      <c r="Z64" s="157">
        <v>23235</v>
      </c>
      <c r="AA64" s="157">
        <v>26219</v>
      </c>
      <c r="AB64" s="157">
        <v>26985</v>
      </c>
      <c r="AC64" s="157"/>
      <c r="AD64" s="157"/>
      <c r="AE64" s="157"/>
      <c r="AF64" s="162"/>
      <c r="AG64" s="188"/>
      <c r="AH64" s="183">
        <v>11736.099999999991</v>
      </c>
      <c r="AI64" s="157">
        <f t="shared" si="10"/>
        <v>208687.40000000002</v>
      </c>
      <c r="AJ64" s="177">
        <f t="shared" si="5"/>
        <v>220423.5</v>
      </c>
      <c r="AK64" s="16">
        <f t="shared" si="6"/>
        <v>136400</v>
      </c>
      <c r="AL64" s="174">
        <f t="shared" si="11"/>
        <v>84023.5</v>
      </c>
    </row>
    <row r="65" spans="1:38" s="194" customFormat="1" x14ac:dyDescent="0.25">
      <c r="A65" s="167">
        <v>63</v>
      </c>
      <c r="B65" s="39" t="s">
        <v>364</v>
      </c>
      <c r="C65" s="57"/>
      <c r="D65" s="40" t="s">
        <v>201</v>
      </c>
      <c r="E65" s="41"/>
      <c r="F65" s="58">
        <v>20405.099999999999</v>
      </c>
      <c r="G65" s="40" t="s">
        <v>429</v>
      </c>
      <c r="H65" s="18">
        <v>45908</v>
      </c>
      <c r="I65" s="2" t="s">
        <v>118</v>
      </c>
      <c r="J65" s="41">
        <v>45290</v>
      </c>
      <c r="K65" s="41">
        <v>53101</v>
      </c>
      <c r="L65" s="156">
        <f t="shared" si="12"/>
        <v>7.8109999999999999</v>
      </c>
      <c r="M65" s="15">
        <v>1000</v>
      </c>
      <c r="N65" s="158">
        <f t="shared" si="3"/>
        <v>7811</v>
      </c>
      <c r="O65" s="157"/>
      <c r="P65" s="157">
        <v>7000</v>
      </c>
      <c r="Q65" s="158">
        <f t="shared" si="9"/>
        <v>14811</v>
      </c>
      <c r="R65" s="157"/>
      <c r="S65" s="157"/>
      <c r="T65" s="158">
        <f t="shared" si="4"/>
        <v>35216.1</v>
      </c>
      <c r="U65" s="157">
        <v>0</v>
      </c>
      <c r="V65" s="34">
        <v>0</v>
      </c>
      <c r="W65" s="157">
        <v>0</v>
      </c>
      <c r="X65" s="157">
        <v>11461.1</v>
      </c>
      <c r="Y65" s="157">
        <v>20393</v>
      </c>
      <c r="Z65" s="157">
        <v>18768</v>
      </c>
      <c r="AA65" s="157">
        <v>20383</v>
      </c>
      <c r="AB65" s="157">
        <v>14811</v>
      </c>
      <c r="AC65" s="157"/>
      <c r="AD65" s="157"/>
      <c r="AE65" s="157"/>
      <c r="AF65" s="162"/>
      <c r="AG65" s="188"/>
      <c r="AH65" s="183"/>
      <c r="AI65" s="157">
        <f t="shared" si="10"/>
        <v>85816.1</v>
      </c>
      <c r="AJ65" s="177">
        <f t="shared" si="5"/>
        <v>85816.1</v>
      </c>
      <c r="AK65" s="16">
        <f t="shared" si="6"/>
        <v>50600.000000000007</v>
      </c>
      <c r="AL65" s="174">
        <f t="shared" si="11"/>
        <v>35216.1</v>
      </c>
    </row>
    <row r="66" spans="1:38" s="194" customFormat="1" x14ac:dyDescent="0.25">
      <c r="A66" s="163">
        <v>64</v>
      </c>
      <c r="B66" s="39" t="s">
        <v>56</v>
      </c>
      <c r="C66" s="57">
        <v>1050543916</v>
      </c>
      <c r="D66" s="40" t="s">
        <v>203</v>
      </c>
      <c r="E66" s="41"/>
      <c r="F66" s="58">
        <v>42817.399999999994</v>
      </c>
      <c r="G66" s="40" t="s">
        <v>430</v>
      </c>
      <c r="H66" s="18">
        <v>45908</v>
      </c>
      <c r="I66" s="2" t="s">
        <v>118</v>
      </c>
      <c r="J66" s="41">
        <v>172886</v>
      </c>
      <c r="K66" s="41">
        <v>173181</v>
      </c>
      <c r="L66" s="156">
        <f t="shared" si="12"/>
        <v>0.29499999999999998</v>
      </c>
      <c r="M66" s="15">
        <v>1000</v>
      </c>
      <c r="N66" s="158">
        <v>3000</v>
      </c>
      <c r="O66" s="157"/>
      <c r="P66" s="157">
        <v>1000</v>
      </c>
      <c r="Q66" s="158">
        <f t="shared" si="9"/>
        <v>4000</v>
      </c>
      <c r="R66" s="157"/>
      <c r="S66" s="157"/>
      <c r="T66" s="158">
        <f t="shared" si="4"/>
        <v>46817.399999999994</v>
      </c>
      <c r="U66" s="157">
        <v>10974.6</v>
      </c>
      <c r="V66" s="34">
        <v>11416.3</v>
      </c>
      <c r="W66" s="157">
        <v>10126.9</v>
      </c>
      <c r="X66" s="157">
        <v>10889.9</v>
      </c>
      <c r="Y66" s="157">
        <v>12612</v>
      </c>
      <c r="Z66" s="157">
        <v>12653</v>
      </c>
      <c r="AA66" s="157">
        <v>13810</v>
      </c>
      <c r="AB66" s="157">
        <v>4000</v>
      </c>
      <c r="AC66" s="157"/>
      <c r="AD66" s="157"/>
      <c r="AE66" s="157"/>
      <c r="AF66" s="162"/>
      <c r="AG66" s="188"/>
      <c r="AH66" s="183">
        <v>6334.6999999999953</v>
      </c>
      <c r="AI66" s="157">
        <f t="shared" si="10"/>
        <v>86482.700000000012</v>
      </c>
      <c r="AJ66" s="177">
        <f t="shared" si="5"/>
        <v>92817.400000000009</v>
      </c>
      <c r="AK66" s="16">
        <f t="shared" si="6"/>
        <v>46000.000000000015</v>
      </c>
      <c r="AL66" s="174">
        <f t="shared" si="11"/>
        <v>46817.399999999994</v>
      </c>
    </row>
    <row r="67" spans="1:38" s="194" customFormat="1" x14ac:dyDescent="0.25">
      <c r="A67" s="163">
        <v>65</v>
      </c>
      <c r="B67" s="39" t="s">
        <v>316</v>
      </c>
      <c r="C67" s="176">
        <v>1019104565</v>
      </c>
      <c r="D67" s="40" t="s">
        <v>204</v>
      </c>
      <c r="E67" s="41"/>
      <c r="F67" s="58">
        <v>1000</v>
      </c>
      <c r="G67" s="40" t="s">
        <v>431</v>
      </c>
      <c r="H67" s="18">
        <v>45908</v>
      </c>
      <c r="I67" s="2" t="s">
        <v>118</v>
      </c>
      <c r="J67" s="41">
        <v>2105</v>
      </c>
      <c r="K67" s="41">
        <v>4496</v>
      </c>
      <c r="L67" s="151">
        <f t="shared" si="12"/>
        <v>2.391</v>
      </c>
      <c r="M67" s="15">
        <v>1000</v>
      </c>
      <c r="N67" s="158">
        <v>3000</v>
      </c>
      <c r="O67" s="157"/>
      <c r="P67" s="157">
        <v>1000</v>
      </c>
      <c r="Q67" s="158">
        <f t="shared" si="9"/>
        <v>4000</v>
      </c>
      <c r="R67" s="157"/>
      <c r="S67" s="157"/>
      <c r="T67" s="158">
        <f t="shared" si="4"/>
        <v>5000</v>
      </c>
      <c r="U67" s="157">
        <v>2700</v>
      </c>
      <c r="V67" s="34">
        <v>2700</v>
      </c>
      <c r="W67" s="157">
        <v>2700</v>
      </c>
      <c r="X67" s="157">
        <v>2700</v>
      </c>
      <c r="Y67" s="157">
        <v>4000</v>
      </c>
      <c r="Z67" s="157">
        <v>4000</v>
      </c>
      <c r="AA67" s="157">
        <v>4000</v>
      </c>
      <c r="AB67" s="157">
        <v>4000</v>
      </c>
      <c r="AC67" s="157"/>
      <c r="AD67" s="157"/>
      <c r="AE67" s="157"/>
      <c r="AF67" s="162"/>
      <c r="AG67" s="188"/>
      <c r="AH67" s="183">
        <v>22000</v>
      </c>
      <c r="AI67" s="157">
        <f t="shared" si="10"/>
        <v>26800</v>
      </c>
      <c r="AJ67" s="177">
        <f t="shared" si="5"/>
        <v>48800</v>
      </c>
      <c r="AK67" s="16">
        <f t="shared" si="6"/>
        <v>43800</v>
      </c>
      <c r="AL67" s="174">
        <f t="shared" si="11"/>
        <v>5000</v>
      </c>
    </row>
    <row r="68" spans="1:38" s="194" customFormat="1" x14ac:dyDescent="0.25">
      <c r="A68" s="4">
        <v>66</v>
      </c>
      <c r="B68" s="39" t="s">
        <v>52</v>
      </c>
      <c r="C68" s="57">
        <v>1007640487</v>
      </c>
      <c r="D68" s="40" t="s">
        <v>278</v>
      </c>
      <c r="E68" s="41"/>
      <c r="F68" s="58">
        <v>11</v>
      </c>
      <c r="G68" s="40" t="s">
        <v>432</v>
      </c>
      <c r="H68" s="18">
        <v>45908</v>
      </c>
      <c r="I68" s="2" t="s">
        <v>118</v>
      </c>
      <c r="J68" s="41">
        <v>246990</v>
      </c>
      <c r="K68" s="41">
        <v>252500</v>
      </c>
      <c r="L68" s="156">
        <f t="shared" si="12"/>
        <v>5.51</v>
      </c>
      <c r="M68" s="15">
        <v>1000</v>
      </c>
      <c r="N68" s="158">
        <f t="shared" si="3"/>
        <v>5510</v>
      </c>
      <c r="O68" s="157"/>
      <c r="P68" s="157">
        <v>7000</v>
      </c>
      <c r="Q68" s="158">
        <f t="shared" si="9"/>
        <v>12510</v>
      </c>
      <c r="R68" s="157"/>
      <c r="S68" s="157"/>
      <c r="T68" s="158">
        <f t="shared" si="4"/>
        <v>12521</v>
      </c>
      <c r="U68" s="157">
        <v>12789</v>
      </c>
      <c r="V68" s="34">
        <v>21504</v>
      </c>
      <c r="W68" s="157">
        <v>19453</v>
      </c>
      <c r="X68" s="157">
        <v>15477</v>
      </c>
      <c r="Y68" s="157">
        <v>10000</v>
      </c>
      <c r="Z68" s="157">
        <v>10000</v>
      </c>
      <c r="AA68" s="157">
        <v>10000</v>
      </c>
      <c r="AB68" s="157">
        <v>12510</v>
      </c>
      <c r="AC68" s="157"/>
      <c r="AD68" s="157"/>
      <c r="AE68" s="157"/>
      <c r="AF68" s="162"/>
      <c r="AG68" s="188"/>
      <c r="AH68" s="183">
        <v>11988</v>
      </c>
      <c r="AI68" s="157">
        <f t="shared" si="10"/>
        <v>111733</v>
      </c>
      <c r="AJ68" s="177">
        <f t="shared" si="5"/>
        <v>123721</v>
      </c>
      <c r="AK68" s="16">
        <f t="shared" si="6"/>
        <v>111200</v>
      </c>
      <c r="AL68" s="174">
        <f t="shared" si="11"/>
        <v>12521</v>
      </c>
    </row>
    <row r="69" spans="1:38" s="195" customFormat="1" x14ac:dyDescent="0.25">
      <c r="A69" s="4">
        <v>67</v>
      </c>
      <c r="B69" s="42" t="s">
        <v>317</v>
      </c>
      <c r="C69" s="55">
        <v>9115707</v>
      </c>
      <c r="D69" s="33" t="s">
        <v>244</v>
      </c>
      <c r="E69" s="36"/>
      <c r="F69" s="56">
        <v>2700</v>
      </c>
      <c r="G69" s="33"/>
      <c r="H69" s="18">
        <v>45908</v>
      </c>
      <c r="I69" s="2" t="s">
        <v>118</v>
      </c>
      <c r="J69" s="36">
        <v>3341</v>
      </c>
      <c r="K69" s="36">
        <v>3341</v>
      </c>
      <c r="L69" s="151">
        <f t="shared" si="12"/>
        <v>0</v>
      </c>
      <c r="M69" s="15">
        <v>1000</v>
      </c>
      <c r="N69" s="153">
        <f t="shared" si="3"/>
        <v>0</v>
      </c>
      <c r="O69" s="152"/>
      <c r="P69" s="152"/>
      <c r="Q69" s="153">
        <f t="shared" si="9"/>
        <v>0</v>
      </c>
      <c r="R69" s="152"/>
      <c r="S69" s="152"/>
      <c r="T69" s="153">
        <f t="shared" si="4"/>
        <v>2700</v>
      </c>
      <c r="U69" s="152">
        <v>2700</v>
      </c>
      <c r="V69" s="154">
        <v>0</v>
      </c>
      <c r="W69" s="152">
        <v>0</v>
      </c>
      <c r="X69" s="152">
        <v>0</v>
      </c>
      <c r="Y69" s="152">
        <v>0</v>
      </c>
      <c r="Z69" s="152">
        <v>0</v>
      </c>
      <c r="AA69" s="152">
        <v>0</v>
      </c>
      <c r="AB69" s="152">
        <v>0</v>
      </c>
      <c r="AC69" s="152"/>
      <c r="AD69" s="152"/>
      <c r="AE69" s="152"/>
      <c r="AF69" s="161"/>
      <c r="AG69" s="189"/>
      <c r="AH69" s="184">
        <v>22000</v>
      </c>
      <c r="AI69" s="152">
        <f t="shared" ref="AI69:AI101" si="13">SUM(U69:AF69)</f>
        <v>2700</v>
      </c>
      <c r="AJ69" s="205">
        <f t="shared" si="5"/>
        <v>24700</v>
      </c>
      <c r="AK69" s="166">
        <f t="shared" si="6"/>
        <v>22000</v>
      </c>
      <c r="AL69" s="166">
        <f t="shared" si="11"/>
        <v>2700</v>
      </c>
    </row>
    <row r="70" spans="1:38" s="194" customFormat="1" x14ac:dyDescent="0.25">
      <c r="A70" s="167">
        <v>68</v>
      </c>
      <c r="B70" s="39" t="s">
        <v>318</v>
      </c>
      <c r="C70" s="57">
        <v>23148157</v>
      </c>
      <c r="D70" s="40" t="s">
        <v>247</v>
      </c>
      <c r="E70" s="41"/>
      <c r="F70" s="58">
        <v>10159</v>
      </c>
      <c r="G70" s="40" t="s">
        <v>433</v>
      </c>
      <c r="H70" s="18">
        <v>45908</v>
      </c>
      <c r="I70" s="2" t="s">
        <v>118</v>
      </c>
      <c r="J70" s="41">
        <v>194228</v>
      </c>
      <c r="K70" s="41">
        <v>196627</v>
      </c>
      <c r="L70" s="156">
        <f t="shared" ref="L70:L102" si="14">(K70-J70)/1000</f>
        <v>2.399</v>
      </c>
      <c r="M70" s="15">
        <v>1000</v>
      </c>
      <c r="N70" s="158">
        <f t="shared" si="3"/>
        <v>2399</v>
      </c>
      <c r="O70" s="157"/>
      <c r="P70" s="157"/>
      <c r="Q70" s="158">
        <f t="shared" si="9"/>
        <v>2399</v>
      </c>
      <c r="R70" s="157"/>
      <c r="S70" s="157"/>
      <c r="T70" s="158">
        <f t="shared" ref="T70:T120" si="15">F70+Q70-S70</f>
        <v>12558</v>
      </c>
      <c r="U70" s="157">
        <v>2700</v>
      </c>
      <c r="V70" s="34">
        <v>2700</v>
      </c>
      <c r="W70" s="157">
        <v>9000</v>
      </c>
      <c r="X70" s="157">
        <v>10892.7</v>
      </c>
      <c r="Y70" s="157">
        <v>3000</v>
      </c>
      <c r="Z70" s="157">
        <v>3000</v>
      </c>
      <c r="AA70" s="157">
        <v>4066</v>
      </c>
      <c r="AB70" s="157">
        <v>2399</v>
      </c>
      <c r="AC70" s="157"/>
      <c r="AD70" s="157"/>
      <c r="AE70" s="157"/>
      <c r="AF70" s="162"/>
      <c r="AG70" s="188"/>
      <c r="AH70" s="183">
        <v>2168</v>
      </c>
      <c r="AI70" s="157">
        <f t="shared" si="13"/>
        <v>37757.699999999997</v>
      </c>
      <c r="AJ70" s="177">
        <f t="shared" ref="AJ70:AJ120" si="16">AH70+AI70</f>
        <v>39925.699999999997</v>
      </c>
      <c r="AK70" s="16">
        <f t="shared" ref="AK70:AK120" si="17">AJ70-AL70</f>
        <v>27367.699999999997</v>
      </c>
      <c r="AL70" s="174">
        <f t="shared" ref="AL70:AL120" si="18">T70</f>
        <v>12558</v>
      </c>
    </row>
    <row r="71" spans="1:38" x14ac:dyDescent="0.25">
      <c r="A71" s="163">
        <v>70</v>
      </c>
      <c r="B71" s="27" t="s">
        <v>53</v>
      </c>
      <c r="C71" s="28">
        <v>363536902</v>
      </c>
      <c r="D71" s="6" t="s">
        <v>206</v>
      </c>
      <c r="E71" s="2"/>
      <c r="F71" s="51">
        <v>37191.700000000012</v>
      </c>
      <c r="G71" s="6" t="s">
        <v>434</v>
      </c>
      <c r="H71" s="18">
        <v>45908</v>
      </c>
      <c r="I71" s="2" t="s">
        <v>118</v>
      </c>
      <c r="J71" s="2">
        <v>432252</v>
      </c>
      <c r="K71" s="2">
        <v>447932</v>
      </c>
      <c r="L71" s="7">
        <f t="shared" si="14"/>
        <v>15.68</v>
      </c>
      <c r="M71" s="15">
        <v>1000</v>
      </c>
      <c r="N71" s="17">
        <f t="shared" ref="N71:N119" si="19">L71*M71</f>
        <v>15680</v>
      </c>
      <c r="O71" s="15"/>
      <c r="P71" s="15">
        <v>7000</v>
      </c>
      <c r="Q71" s="17">
        <f t="shared" ref="Q71:Q120" si="20">N71+P71-O71</f>
        <v>22680</v>
      </c>
      <c r="R71" s="15"/>
      <c r="S71" s="15"/>
      <c r="T71" s="17">
        <f t="shared" si="15"/>
        <v>59871.700000000012</v>
      </c>
      <c r="U71" s="15">
        <v>21032.199999999997</v>
      </c>
      <c r="V71" s="34">
        <v>22918</v>
      </c>
      <c r="W71" s="15">
        <v>20108.199999999997</v>
      </c>
      <c r="X71" s="15">
        <v>20095.599999999999</v>
      </c>
      <c r="Y71" s="15">
        <v>20986</v>
      </c>
      <c r="Z71" s="15">
        <v>19462</v>
      </c>
      <c r="AA71" s="15">
        <v>26662</v>
      </c>
      <c r="AB71" s="15">
        <v>22680</v>
      </c>
      <c r="AC71" s="15"/>
      <c r="AD71" s="15"/>
      <c r="AE71" s="15"/>
      <c r="AF71" s="160"/>
      <c r="AG71" s="186"/>
      <c r="AH71" s="181">
        <v>33827.700000000012</v>
      </c>
      <c r="AI71" s="15">
        <f t="shared" si="13"/>
        <v>173944</v>
      </c>
      <c r="AJ71" s="177">
        <f t="shared" si="16"/>
        <v>207771.7</v>
      </c>
      <c r="AK71" s="16">
        <f t="shared" si="17"/>
        <v>147900</v>
      </c>
      <c r="AL71" s="16">
        <f t="shared" si="18"/>
        <v>59871.700000000012</v>
      </c>
    </row>
    <row r="72" spans="1:38" x14ac:dyDescent="0.25">
      <c r="A72" s="4">
        <v>71</v>
      </c>
      <c r="B72" s="27" t="s">
        <v>319</v>
      </c>
      <c r="C72" s="28">
        <v>72244699</v>
      </c>
      <c r="D72" s="6" t="s">
        <v>272</v>
      </c>
      <c r="E72" s="2"/>
      <c r="F72" s="51">
        <v>25613.599999999999</v>
      </c>
      <c r="G72" s="6" t="s">
        <v>435</v>
      </c>
      <c r="H72" s="18">
        <v>45908</v>
      </c>
      <c r="I72" s="2" t="s">
        <v>118</v>
      </c>
      <c r="J72" s="2">
        <v>122533</v>
      </c>
      <c r="K72" s="2">
        <v>131628</v>
      </c>
      <c r="L72" s="7">
        <f t="shared" si="14"/>
        <v>9.0950000000000006</v>
      </c>
      <c r="M72" s="15">
        <v>1000</v>
      </c>
      <c r="N72" s="17">
        <f t="shared" si="19"/>
        <v>9095</v>
      </c>
      <c r="O72" s="15"/>
      <c r="P72" s="15">
        <v>7000</v>
      </c>
      <c r="Q72" s="17">
        <f t="shared" si="20"/>
        <v>16095</v>
      </c>
      <c r="R72" s="15"/>
      <c r="S72" s="15"/>
      <c r="T72" s="17">
        <f t="shared" si="15"/>
        <v>41708.6</v>
      </c>
      <c r="U72" s="15">
        <v>9700</v>
      </c>
      <c r="V72" s="34">
        <v>9700</v>
      </c>
      <c r="W72" s="15">
        <v>9700</v>
      </c>
      <c r="X72" s="15">
        <v>10383.1</v>
      </c>
      <c r="Y72" s="15">
        <v>12604</v>
      </c>
      <c r="Z72" s="15">
        <v>20549</v>
      </c>
      <c r="AA72" s="15">
        <v>25565</v>
      </c>
      <c r="AB72" s="15">
        <v>16095</v>
      </c>
      <c r="AC72" s="15"/>
      <c r="AD72" s="15"/>
      <c r="AE72" s="15"/>
      <c r="AF72" s="160"/>
      <c r="AG72" s="186"/>
      <c r="AH72" s="181">
        <v>27412.5</v>
      </c>
      <c r="AI72" s="15">
        <f t="shared" si="13"/>
        <v>114296.1</v>
      </c>
      <c r="AJ72" s="177">
        <f t="shared" si="16"/>
        <v>141708.6</v>
      </c>
      <c r="AK72" s="16">
        <f t="shared" si="17"/>
        <v>100000</v>
      </c>
      <c r="AL72" s="16">
        <f t="shared" si="18"/>
        <v>41708.6</v>
      </c>
    </row>
    <row r="73" spans="1:38" x14ac:dyDescent="0.25">
      <c r="A73" s="4">
        <v>72</v>
      </c>
      <c r="B73" s="27" t="s">
        <v>320</v>
      </c>
      <c r="C73" s="28">
        <v>3982623</v>
      </c>
      <c r="D73" s="6" t="s">
        <v>207</v>
      </c>
      <c r="E73" s="2"/>
      <c r="F73" s="51">
        <v>19052.899999999994</v>
      </c>
      <c r="G73" s="6" t="s">
        <v>436</v>
      </c>
      <c r="H73" s="18">
        <v>45908</v>
      </c>
      <c r="I73" s="2" t="s">
        <v>118</v>
      </c>
      <c r="J73" s="2">
        <v>407784</v>
      </c>
      <c r="K73" s="2">
        <v>419006</v>
      </c>
      <c r="L73" s="7">
        <f t="shared" si="14"/>
        <v>11.222</v>
      </c>
      <c r="M73" s="15">
        <v>1000</v>
      </c>
      <c r="N73" s="17">
        <f t="shared" si="19"/>
        <v>11222</v>
      </c>
      <c r="O73" s="15"/>
      <c r="P73" s="15">
        <v>7000</v>
      </c>
      <c r="Q73" s="17">
        <f t="shared" si="20"/>
        <v>18222</v>
      </c>
      <c r="R73" s="15"/>
      <c r="S73" s="15"/>
      <c r="T73" s="17">
        <f t="shared" si="15"/>
        <v>37274.899999999994</v>
      </c>
      <c r="U73" s="15">
        <v>24383.8</v>
      </c>
      <c r="V73" s="34">
        <v>18348.400000000001</v>
      </c>
      <c r="W73" s="15">
        <v>16492.7</v>
      </c>
      <c r="X73" s="15">
        <v>14522.9</v>
      </c>
      <c r="Y73" s="15">
        <v>14845</v>
      </c>
      <c r="Z73" s="15">
        <v>16379</v>
      </c>
      <c r="AA73" s="15">
        <v>26796</v>
      </c>
      <c r="AB73" s="15">
        <v>18222</v>
      </c>
      <c r="AC73" s="15"/>
      <c r="AD73" s="15"/>
      <c r="AE73" s="15"/>
      <c r="AF73" s="160"/>
      <c r="AG73" s="186"/>
      <c r="AH73" s="181">
        <v>16285.099999999993</v>
      </c>
      <c r="AI73" s="15">
        <f t="shared" si="13"/>
        <v>149989.79999999999</v>
      </c>
      <c r="AJ73" s="177">
        <f t="shared" si="16"/>
        <v>166274.9</v>
      </c>
      <c r="AK73" s="16">
        <f t="shared" si="17"/>
        <v>129000</v>
      </c>
      <c r="AL73" s="16">
        <f t="shared" si="18"/>
        <v>37274.899999999994</v>
      </c>
    </row>
    <row r="74" spans="1:38" x14ac:dyDescent="0.25">
      <c r="A74" s="167">
        <v>73</v>
      </c>
      <c r="B74" s="27" t="s">
        <v>71</v>
      </c>
      <c r="C74" s="28">
        <v>1050920384</v>
      </c>
      <c r="D74" s="6" t="s">
        <v>208</v>
      </c>
      <c r="E74" s="2"/>
      <c r="F74" s="51">
        <v>55395.899999999987</v>
      </c>
      <c r="G74" s="6" t="s">
        <v>437</v>
      </c>
      <c r="H74" s="18">
        <v>45908</v>
      </c>
      <c r="I74" s="2" t="s">
        <v>118</v>
      </c>
      <c r="J74" s="2">
        <v>313379</v>
      </c>
      <c r="K74" s="2">
        <v>327054</v>
      </c>
      <c r="L74" s="7">
        <f t="shared" si="14"/>
        <v>13.675000000000001</v>
      </c>
      <c r="M74" s="15">
        <v>1000</v>
      </c>
      <c r="N74" s="17">
        <f t="shared" si="19"/>
        <v>13675</v>
      </c>
      <c r="O74" s="15"/>
      <c r="P74" s="15">
        <v>7000</v>
      </c>
      <c r="Q74" s="17">
        <f t="shared" si="20"/>
        <v>20675</v>
      </c>
      <c r="R74" s="15"/>
      <c r="S74" s="15"/>
      <c r="T74" s="17">
        <f t="shared" si="15"/>
        <v>76070.899999999994</v>
      </c>
      <c r="U74" s="15">
        <v>17094</v>
      </c>
      <c r="V74" s="34">
        <v>14590.1</v>
      </c>
      <c r="W74" s="15">
        <v>14897.4</v>
      </c>
      <c r="X74" s="15">
        <v>15937.6</v>
      </c>
      <c r="Y74" s="15">
        <v>19584</v>
      </c>
      <c r="Z74" s="15">
        <v>19270</v>
      </c>
      <c r="AA74" s="15">
        <v>24080</v>
      </c>
      <c r="AB74" s="15">
        <v>20675</v>
      </c>
      <c r="AC74" s="15"/>
      <c r="AD74" s="15"/>
      <c r="AE74" s="15"/>
      <c r="AF74" s="160"/>
      <c r="AG74" s="186"/>
      <c r="AH74" s="181">
        <v>-57.200000000011642</v>
      </c>
      <c r="AI74" s="15">
        <f t="shared" si="13"/>
        <v>146128.1</v>
      </c>
      <c r="AJ74" s="177">
        <f t="shared" si="16"/>
        <v>146070.9</v>
      </c>
      <c r="AK74" s="16">
        <f t="shared" si="17"/>
        <v>70000</v>
      </c>
      <c r="AL74" s="16">
        <f t="shared" si="18"/>
        <v>76070.899999999994</v>
      </c>
    </row>
    <row r="75" spans="1:38" x14ac:dyDescent="0.25">
      <c r="A75" s="163">
        <v>74</v>
      </c>
      <c r="B75" s="27" t="s">
        <v>321</v>
      </c>
      <c r="C75" s="28">
        <v>39275553</v>
      </c>
      <c r="D75" s="6" t="s">
        <v>209</v>
      </c>
      <c r="E75" s="2"/>
      <c r="F75" s="51">
        <v>5.6999999999970896</v>
      </c>
      <c r="G75" s="6" t="s">
        <v>438</v>
      </c>
      <c r="H75" s="18">
        <v>45908</v>
      </c>
      <c r="I75" s="2" t="s">
        <v>118</v>
      </c>
      <c r="J75" s="2">
        <v>361144</v>
      </c>
      <c r="K75" s="2">
        <v>373190</v>
      </c>
      <c r="L75" s="7">
        <f t="shared" si="14"/>
        <v>12.045999999999999</v>
      </c>
      <c r="M75" s="15">
        <v>1000</v>
      </c>
      <c r="N75" s="17">
        <f t="shared" si="19"/>
        <v>12046</v>
      </c>
      <c r="O75" s="15"/>
      <c r="P75" s="15">
        <v>7000</v>
      </c>
      <c r="Q75" s="17">
        <f t="shared" si="20"/>
        <v>19046</v>
      </c>
      <c r="R75" s="15"/>
      <c r="S75" s="15"/>
      <c r="T75" s="17">
        <f t="shared" si="15"/>
        <v>19051.699999999997</v>
      </c>
      <c r="U75" s="15">
        <v>17183.599999999999</v>
      </c>
      <c r="V75" s="34">
        <v>17109.400000000001</v>
      </c>
      <c r="W75" s="15">
        <v>16597</v>
      </c>
      <c r="X75" s="15">
        <v>19173.699999999997</v>
      </c>
      <c r="Y75" s="15">
        <v>23869</v>
      </c>
      <c r="Z75" s="15">
        <v>28302</v>
      </c>
      <c r="AA75" s="15">
        <v>24220</v>
      </c>
      <c r="AB75" s="15">
        <v>19046</v>
      </c>
      <c r="AC75" s="15"/>
      <c r="AD75" s="15"/>
      <c r="AE75" s="15"/>
      <c r="AF75" s="160"/>
      <c r="AG75" s="186"/>
      <c r="AH75" s="181">
        <v>51</v>
      </c>
      <c r="AI75" s="15">
        <f t="shared" si="13"/>
        <v>165500.70000000001</v>
      </c>
      <c r="AJ75" s="177">
        <f t="shared" si="16"/>
        <v>165551.70000000001</v>
      </c>
      <c r="AK75" s="16">
        <f t="shared" si="17"/>
        <v>146500</v>
      </c>
      <c r="AL75" s="16">
        <f t="shared" si="18"/>
        <v>19051.699999999997</v>
      </c>
    </row>
    <row r="76" spans="1:38" x14ac:dyDescent="0.25">
      <c r="A76" s="163">
        <v>75</v>
      </c>
      <c r="B76" s="27" t="s">
        <v>322</v>
      </c>
      <c r="C76" s="28">
        <v>1049290733</v>
      </c>
      <c r="D76" s="6" t="s">
        <v>210</v>
      </c>
      <c r="E76" s="2"/>
      <c r="F76" s="51">
        <v>45579.399999999994</v>
      </c>
      <c r="G76" s="6" t="s">
        <v>439</v>
      </c>
      <c r="H76" s="18">
        <v>45908</v>
      </c>
      <c r="I76" s="2" t="s">
        <v>118</v>
      </c>
      <c r="J76" s="2">
        <v>474990</v>
      </c>
      <c r="K76" s="2">
        <v>519538</v>
      </c>
      <c r="L76" s="7">
        <f t="shared" si="14"/>
        <v>44.548000000000002</v>
      </c>
      <c r="M76" s="15">
        <v>1000</v>
      </c>
      <c r="N76" s="17">
        <f t="shared" si="19"/>
        <v>44548</v>
      </c>
      <c r="O76" s="15"/>
      <c r="P76" s="15">
        <v>7000</v>
      </c>
      <c r="Q76" s="17">
        <f t="shared" si="20"/>
        <v>51548</v>
      </c>
      <c r="R76" s="15"/>
      <c r="S76" s="15"/>
      <c r="T76" s="17">
        <f t="shared" si="15"/>
        <v>97127.4</v>
      </c>
      <c r="U76" s="15">
        <v>20774.599999999999</v>
      </c>
      <c r="V76" s="34">
        <v>21075.599999999999</v>
      </c>
      <c r="W76" s="15">
        <v>18442.900000000001</v>
      </c>
      <c r="X76" s="15">
        <v>21242.9</v>
      </c>
      <c r="Y76" s="15">
        <v>33502</v>
      </c>
      <c r="Z76" s="15">
        <v>28765</v>
      </c>
      <c r="AA76" s="15">
        <v>17000</v>
      </c>
      <c r="AB76" s="15">
        <v>51548</v>
      </c>
      <c r="AC76" s="15"/>
      <c r="AD76" s="15"/>
      <c r="AE76" s="15"/>
      <c r="AF76" s="160"/>
      <c r="AG76" s="186"/>
      <c r="AH76" s="181">
        <v>-223.60000000000582</v>
      </c>
      <c r="AI76" s="15">
        <f t="shared" si="13"/>
        <v>212351</v>
      </c>
      <c r="AJ76" s="177">
        <f t="shared" si="16"/>
        <v>212127.4</v>
      </c>
      <c r="AK76" s="16">
        <f t="shared" si="17"/>
        <v>115000</v>
      </c>
      <c r="AL76" s="16">
        <f t="shared" si="18"/>
        <v>97127.4</v>
      </c>
    </row>
    <row r="77" spans="1:38" x14ac:dyDescent="0.25">
      <c r="A77" s="4">
        <v>76</v>
      </c>
      <c r="B77" s="39" t="s">
        <v>342</v>
      </c>
      <c r="C77" s="57"/>
      <c r="D77" s="40" t="s">
        <v>212</v>
      </c>
      <c r="E77" s="41"/>
      <c r="F77" s="58">
        <v>100086.39999999999</v>
      </c>
      <c r="G77" s="6" t="s">
        <v>440</v>
      </c>
      <c r="H77" s="18">
        <v>45908</v>
      </c>
      <c r="I77" s="2" t="s">
        <v>118</v>
      </c>
      <c r="J77" s="41">
        <v>142330</v>
      </c>
      <c r="K77" s="41">
        <v>156805</v>
      </c>
      <c r="L77" s="7">
        <f t="shared" si="14"/>
        <v>14.475</v>
      </c>
      <c r="M77" s="15">
        <v>1000</v>
      </c>
      <c r="N77" s="17">
        <f t="shared" si="19"/>
        <v>14475</v>
      </c>
      <c r="O77" s="15"/>
      <c r="P77" s="15">
        <v>7000</v>
      </c>
      <c r="Q77" s="17">
        <f t="shared" si="20"/>
        <v>21475</v>
      </c>
      <c r="R77" s="15"/>
      <c r="S77" s="15"/>
      <c r="T77" s="17">
        <f t="shared" si="15"/>
        <v>121561.4</v>
      </c>
      <c r="U77" s="15">
        <v>14223.3</v>
      </c>
      <c r="V77" s="34">
        <v>14047.599999999999</v>
      </c>
      <c r="W77" s="15">
        <v>14200.2</v>
      </c>
      <c r="X77" s="15">
        <v>16680.300000000003</v>
      </c>
      <c r="Y77" s="15">
        <v>21091</v>
      </c>
      <c r="Z77" s="15">
        <v>18842</v>
      </c>
      <c r="AA77" s="15">
        <v>23222</v>
      </c>
      <c r="AB77" s="15">
        <v>21475</v>
      </c>
      <c r="AC77" s="15"/>
      <c r="AD77" s="15"/>
      <c r="AE77" s="15"/>
      <c r="AF77" s="160"/>
      <c r="AG77" s="186"/>
      <c r="AH77" s="181">
        <v>47780</v>
      </c>
      <c r="AI77" s="15">
        <f t="shared" si="13"/>
        <v>143781.4</v>
      </c>
      <c r="AJ77" s="177">
        <f t="shared" si="16"/>
        <v>191561.4</v>
      </c>
      <c r="AK77" s="16">
        <f t="shared" si="17"/>
        <v>70000</v>
      </c>
      <c r="AL77" s="16">
        <f t="shared" si="18"/>
        <v>121561.4</v>
      </c>
    </row>
    <row r="78" spans="1:38" x14ac:dyDescent="0.25">
      <c r="A78" s="163">
        <v>77</v>
      </c>
      <c r="B78" s="27" t="s">
        <v>57</v>
      </c>
      <c r="C78" s="28">
        <v>20855997</v>
      </c>
      <c r="D78" s="6" t="s">
        <v>273</v>
      </c>
      <c r="E78" s="2"/>
      <c r="F78" s="51">
        <v>75660.7</v>
      </c>
      <c r="G78" s="6" t="s">
        <v>441</v>
      </c>
      <c r="H78" s="18">
        <v>45908</v>
      </c>
      <c r="I78" s="2" t="s">
        <v>118</v>
      </c>
      <c r="J78" s="41">
        <v>170015</v>
      </c>
      <c r="K78" s="41">
        <v>172486</v>
      </c>
      <c r="L78" s="7">
        <f t="shared" si="14"/>
        <v>2.4710000000000001</v>
      </c>
      <c r="M78" s="15">
        <v>1000</v>
      </c>
      <c r="N78" s="17">
        <f t="shared" si="19"/>
        <v>2471</v>
      </c>
      <c r="O78" s="15"/>
      <c r="P78" s="15">
        <v>7000</v>
      </c>
      <c r="Q78" s="17">
        <f t="shared" si="20"/>
        <v>9471</v>
      </c>
      <c r="R78" s="15"/>
      <c r="S78" s="15"/>
      <c r="T78" s="17">
        <f t="shared" si="15"/>
        <v>85131.7</v>
      </c>
      <c r="U78" s="15">
        <v>9000</v>
      </c>
      <c r="V78" s="34">
        <v>9000</v>
      </c>
      <c r="W78" s="15">
        <v>9291.7999999999993</v>
      </c>
      <c r="X78" s="15">
        <v>10041.5</v>
      </c>
      <c r="Y78" s="15">
        <v>21336</v>
      </c>
      <c r="Z78" s="15">
        <v>23022</v>
      </c>
      <c r="AA78" s="15">
        <v>15465</v>
      </c>
      <c r="AB78" s="15">
        <v>9471</v>
      </c>
      <c r="AC78" s="15"/>
      <c r="AD78" s="15"/>
      <c r="AE78" s="15"/>
      <c r="AF78" s="160"/>
      <c r="AG78" s="186"/>
      <c r="AH78" s="181">
        <v>17004.399999999994</v>
      </c>
      <c r="AI78" s="15">
        <f t="shared" si="13"/>
        <v>106627.3</v>
      </c>
      <c r="AJ78" s="177">
        <f t="shared" si="16"/>
        <v>123631.7</v>
      </c>
      <c r="AK78" s="16">
        <f t="shared" si="17"/>
        <v>38500</v>
      </c>
      <c r="AL78" s="16">
        <f t="shared" si="18"/>
        <v>85131.7</v>
      </c>
    </row>
    <row r="79" spans="1:38" s="194" customFormat="1" x14ac:dyDescent="0.25">
      <c r="A79" s="167">
        <v>78</v>
      </c>
      <c r="B79" s="39" t="s">
        <v>323</v>
      </c>
      <c r="C79" s="57">
        <v>1049290922</v>
      </c>
      <c r="D79" s="40" t="s">
        <v>213</v>
      </c>
      <c r="E79" s="41"/>
      <c r="F79" s="58">
        <v>7832.5</v>
      </c>
      <c r="G79" s="6" t="s">
        <v>442</v>
      </c>
      <c r="H79" s="18">
        <v>45908</v>
      </c>
      <c r="I79" s="2" t="s">
        <v>118</v>
      </c>
      <c r="J79" s="41">
        <v>32484</v>
      </c>
      <c r="K79" s="41">
        <v>49988</v>
      </c>
      <c r="L79" s="156">
        <f t="shared" si="14"/>
        <v>17.504000000000001</v>
      </c>
      <c r="M79" s="157">
        <v>1000</v>
      </c>
      <c r="N79" s="158">
        <f t="shared" si="19"/>
        <v>17504</v>
      </c>
      <c r="O79" s="157"/>
      <c r="P79" s="157">
        <v>7000</v>
      </c>
      <c r="Q79" s="158">
        <f t="shared" si="20"/>
        <v>24504</v>
      </c>
      <c r="R79" s="157"/>
      <c r="S79" s="157"/>
      <c r="T79" s="158">
        <f t="shared" si="15"/>
        <v>32336.5</v>
      </c>
      <c r="U79" s="157">
        <v>0</v>
      </c>
      <c r="V79" s="34">
        <v>0</v>
      </c>
      <c r="W79" s="157">
        <v>0</v>
      </c>
      <c r="X79" s="157">
        <v>317.8</v>
      </c>
      <c r="Y79" s="157">
        <v>0</v>
      </c>
      <c r="Z79" s="157">
        <v>-227</v>
      </c>
      <c r="AA79" s="157">
        <v>5864</v>
      </c>
      <c r="AB79" s="157">
        <v>24504</v>
      </c>
      <c r="AC79" s="157"/>
      <c r="AD79" s="157"/>
      <c r="AE79" s="157"/>
      <c r="AF79" s="162"/>
      <c r="AG79" s="188"/>
      <c r="AH79" s="183">
        <v>1877.7</v>
      </c>
      <c r="AI79" s="157">
        <f t="shared" si="13"/>
        <v>30458.799999999999</v>
      </c>
      <c r="AJ79" s="207">
        <f t="shared" si="16"/>
        <v>32336.5</v>
      </c>
      <c r="AK79" s="174">
        <f t="shared" si="17"/>
        <v>0</v>
      </c>
      <c r="AL79" s="174">
        <f t="shared" si="18"/>
        <v>32336.5</v>
      </c>
    </row>
    <row r="80" spans="1:38" x14ac:dyDescent="0.25">
      <c r="A80" s="163">
        <v>79</v>
      </c>
      <c r="B80" s="27" t="s">
        <v>367</v>
      </c>
      <c r="C80" s="28">
        <v>13565272</v>
      </c>
      <c r="D80" s="6" t="s">
        <v>214</v>
      </c>
      <c r="E80" s="2"/>
      <c r="F80" s="51">
        <v>186887.89999999997</v>
      </c>
      <c r="G80" s="6" t="s">
        <v>443</v>
      </c>
      <c r="H80" s="18">
        <v>45908</v>
      </c>
      <c r="I80" s="2" t="s">
        <v>118</v>
      </c>
      <c r="J80" s="41">
        <v>407925</v>
      </c>
      <c r="K80" s="41">
        <v>407925</v>
      </c>
      <c r="L80" s="7">
        <f t="shared" si="14"/>
        <v>0</v>
      </c>
      <c r="M80" s="15">
        <v>1000</v>
      </c>
      <c r="N80" s="17">
        <f t="shared" si="19"/>
        <v>0</v>
      </c>
      <c r="O80" s="15"/>
      <c r="P80" s="15"/>
      <c r="Q80" s="17">
        <f t="shared" si="20"/>
        <v>0</v>
      </c>
      <c r="R80" s="15"/>
      <c r="S80" s="15"/>
      <c r="T80" s="17">
        <f t="shared" si="15"/>
        <v>186887.89999999997</v>
      </c>
      <c r="U80" s="15">
        <v>24954.3</v>
      </c>
      <c r="V80" s="34">
        <v>14023.8</v>
      </c>
      <c r="W80" s="15">
        <v>19346.599999999999</v>
      </c>
      <c r="X80" s="15">
        <v>20155.800000000003</v>
      </c>
      <c r="Y80" s="15">
        <v>19914</v>
      </c>
      <c r="Z80" s="15">
        <v>30368</v>
      </c>
      <c r="AA80" s="15">
        <v>17308</v>
      </c>
      <c r="AB80" s="15">
        <v>0</v>
      </c>
      <c r="AC80" s="15"/>
      <c r="AD80" s="15"/>
      <c r="AE80" s="15"/>
      <c r="AF80" s="160"/>
      <c r="AG80" s="186"/>
      <c r="AH80" s="181">
        <v>147817.4</v>
      </c>
      <c r="AI80" s="15">
        <f t="shared" si="13"/>
        <v>146070.5</v>
      </c>
      <c r="AJ80" s="177">
        <f t="shared" si="16"/>
        <v>293887.90000000002</v>
      </c>
      <c r="AK80" s="16">
        <f t="shared" si="17"/>
        <v>107000.00000000006</v>
      </c>
      <c r="AL80" s="16">
        <f t="shared" si="18"/>
        <v>186887.89999999997</v>
      </c>
    </row>
    <row r="81" spans="1:38" s="194" customFormat="1" x14ac:dyDescent="0.25">
      <c r="A81" s="163">
        <v>80</v>
      </c>
      <c r="B81" s="39" t="s">
        <v>348</v>
      </c>
      <c r="C81" s="57">
        <v>1002298169</v>
      </c>
      <c r="D81" s="40" t="s">
        <v>215</v>
      </c>
      <c r="E81" s="41"/>
      <c r="F81" s="58">
        <v>69567.299999999988</v>
      </c>
      <c r="G81" s="6" t="s">
        <v>444</v>
      </c>
      <c r="H81" s="18">
        <v>45908</v>
      </c>
      <c r="I81" s="2" t="s">
        <v>118</v>
      </c>
      <c r="J81" s="41">
        <v>286787</v>
      </c>
      <c r="K81" s="41">
        <v>290541</v>
      </c>
      <c r="L81" s="156">
        <f t="shared" si="14"/>
        <v>3.754</v>
      </c>
      <c r="M81" s="15">
        <v>1000</v>
      </c>
      <c r="N81" s="158">
        <f t="shared" si="19"/>
        <v>3754</v>
      </c>
      <c r="O81" s="157"/>
      <c r="P81" s="157">
        <v>7000</v>
      </c>
      <c r="Q81" s="158">
        <f t="shared" si="20"/>
        <v>10754</v>
      </c>
      <c r="R81" s="157"/>
      <c r="S81" s="157"/>
      <c r="T81" s="158">
        <f t="shared" si="15"/>
        <v>80321.299999999988</v>
      </c>
      <c r="U81" s="157">
        <v>12214.300000000001</v>
      </c>
      <c r="V81" s="34">
        <v>28721</v>
      </c>
      <c r="W81" s="157">
        <v>19038.599999999999</v>
      </c>
      <c r="X81" s="157">
        <v>7919.8</v>
      </c>
      <c r="Y81" s="157">
        <v>12184</v>
      </c>
      <c r="Z81" s="157">
        <v>18510</v>
      </c>
      <c r="AA81" s="157">
        <v>19576</v>
      </c>
      <c r="AB81" s="157">
        <v>10754</v>
      </c>
      <c r="AC81" s="157"/>
      <c r="AD81" s="157"/>
      <c r="AE81" s="157"/>
      <c r="AF81" s="162"/>
      <c r="AG81" s="188"/>
      <c r="AH81" s="183">
        <v>1403.5999999999954</v>
      </c>
      <c r="AI81" s="157">
        <f t="shared" si="13"/>
        <v>128917.7</v>
      </c>
      <c r="AJ81" s="177">
        <f t="shared" si="16"/>
        <v>130321.29999999999</v>
      </c>
      <c r="AK81" s="16">
        <f t="shared" si="17"/>
        <v>50000</v>
      </c>
      <c r="AL81" s="16">
        <f t="shared" si="18"/>
        <v>80321.299999999988</v>
      </c>
    </row>
    <row r="82" spans="1:38" x14ac:dyDescent="0.25">
      <c r="A82" s="4">
        <v>81</v>
      </c>
      <c r="B82" s="27" t="s">
        <v>74</v>
      </c>
      <c r="C82" s="28">
        <v>1050919263</v>
      </c>
      <c r="D82" s="6" t="s">
        <v>216</v>
      </c>
      <c r="E82" s="2"/>
      <c r="F82" s="51">
        <v>58065.199999999983</v>
      </c>
      <c r="G82" s="6" t="s">
        <v>445</v>
      </c>
      <c r="H82" s="18">
        <v>45908</v>
      </c>
      <c r="I82" s="2" t="s">
        <v>118</v>
      </c>
      <c r="J82" s="2">
        <v>319422</v>
      </c>
      <c r="K82" s="2">
        <v>330897</v>
      </c>
      <c r="L82" s="7">
        <f t="shared" si="14"/>
        <v>11.475</v>
      </c>
      <c r="M82" s="15">
        <v>1000</v>
      </c>
      <c r="N82" s="17">
        <f t="shared" si="19"/>
        <v>11475</v>
      </c>
      <c r="O82" s="15"/>
      <c r="P82" s="15">
        <v>10000</v>
      </c>
      <c r="Q82" s="17">
        <f t="shared" si="20"/>
        <v>21475</v>
      </c>
      <c r="R82" s="15"/>
      <c r="S82" s="15"/>
      <c r="T82" s="17">
        <f t="shared" si="15"/>
        <v>79540.199999999983</v>
      </c>
      <c r="U82" s="15">
        <v>19001.3</v>
      </c>
      <c r="V82" s="34">
        <v>17323.400000000001</v>
      </c>
      <c r="W82" s="15">
        <v>17643.3</v>
      </c>
      <c r="X82" s="15">
        <v>18223.599999999999</v>
      </c>
      <c r="Y82" s="15">
        <v>23138</v>
      </c>
      <c r="Z82" s="15">
        <v>25459</v>
      </c>
      <c r="AA82" s="15">
        <v>27222</v>
      </c>
      <c r="AB82" s="15">
        <v>21475</v>
      </c>
      <c r="AC82" s="15"/>
      <c r="AD82" s="15"/>
      <c r="AE82" s="15"/>
      <c r="AF82" s="160"/>
      <c r="AG82" s="186"/>
      <c r="AH82" s="181">
        <v>15054.599999999991</v>
      </c>
      <c r="AI82" s="15">
        <f t="shared" si="13"/>
        <v>169485.6</v>
      </c>
      <c r="AJ82" s="177">
        <f t="shared" si="16"/>
        <v>184540.2</v>
      </c>
      <c r="AK82" s="16">
        <f t="shared" si="17"/>
        <v>105000.00000000003</v>
      </c>
      <c r="AL82" s="16">
        <f t="shared" si="18"/>
        <v>79540.199999999983</v>
      </c>
    </row>
    <row r="83" spans="1:38" x14ac:dyDescent="0.25">
      <c r="A83" s="4">
        <v>82</v>
      </c>
      <c r="B83" s="27" t="s">
        <v>147</v>
      </c>
      <c r="C83" s="29"/>
      <c r="D83" s="149" t="s">
        <v>217</v>
      </c>
      <c r="E83" s="29"/>
      <c r="F83" s="150">
        <v>42847</v>
      </c>
      <c r="G83" s="6" t="s">
        <v>446</v>
      </c>
      <c r="H83" s="18">
        <v>45908</v>
      </c>
      <c r="I83" s="2" t="s">
        <v>118</v>
      </c>
      <c r="J83" s="29">
        <v>127966</v>
      </c>
      <c r="K83" s="29">
        <v>128430</v>
      </c>
      <c r="L83" s="7">
        <f t="shared" si="14"/>
        <v>0.46400000000000002</v>
      </c>
      <c r="M83" s="15">
        <v>1000</v>
      </c>
      <c r="N83" s="17">
        <v>3000</v>
      </c>
      <c r="O83" s="15"/>
      <c r="P83" s="15">
        <v>1000</v>
      </c>
      <c r="Q83" s="17">
        <f t="shared" si="20"/>
        <v>4000</v>
      </c>
      <c r="R83" s="15"/>
      <c r="S83" s="15"/>
      <c r="T83" s="17">
        <f t="shared" si="15"/>
        <v>46847</v>
      </c>
      <c r="U83" s="15">
        <v>2700</v>
      </c>
      <c r="V83" s="34">
        <v>2700</v>
      </c>
      <c r="W83" s="15">
        <v>2700</v>
      </c>
      <c r="X83" s="15">
        <v>2700</v>
      </c>
      <c r="Y83" s="15">
        <v>4000</v>
      </c>
      <c r="Z83" s="15">
        <v>4000</v>
      </c>
      <c r="AA83" s="15">
        <v>4000</v>
      </c>
      <c r="AB83" s="15">
        <v>4000</v>
      </c>
      <c r="AC83" s="15"/>
      <c r="AD83" s="15"/>
      <c r="AE83" s="15"/>
      <c r="AF83" s="160"/>
      <c r="AG83" s="186"/>
      <c r="AH83" s="181">
        <v>74446.899999999994</v>
      </c>
      <c r="AI83" s="15">
        <f t="shared" si="13"/>
        <v>26800</v>
      </c>
      <c r="AJ83" s="177">
        <f t="shared" si="16"/>
        <v>101246.9</v>
      </c>
      <c r="AK83" s="16">
        <f t="shared" si="17"/>
        <v>54399.899999999994</v>
      </c>
      <c r="AL83" s="16">
        <f t="shared" si="18"/>
        <v>46847</v>
      </c>
    </row>
    <row r="84" spans="1:38" s="195" customFormat="1" x14ac:dyDescent="0.25">
      <c r="A84" s="167">
        <v>83</v>
      </c>
      <c r="B84" s="42" t="s">
        <v>148</v>
      </c>
      <c r="C84" s="142"/>
      <c r="D84" s="155" t="s">
        <v>271</v>
      </c>
      <c r="E84" s="36"/>
      <c r="F84" s="56">
        <v>75983.5</v>
      </c>
      <c r="G84" s="33"/>
      <c r="H84" s="18">
        <v>45908</v>
      </c>
      <c r="I84" s="2" t="s">
        <v>118</v>
      </c>
      <c r="J84" s="36">
        <v>168850</v>
      </c>
      <c r="K84" s="36">
        <v>168850</v>
      </c>
      <c r="L84" s="151">
        <f t="shared" si="14"/>
        <v>0</v>
      </c>
      <c r="M84" s="15">
        <v>1000</v>
      </c>
      <c r="N84" s="153">
        <f t="shared" si="19"/>
        <v>0</v>
      </c>
      <c r="O84" s="152"/>
      <c r="P84" s="152"/>
      <c r="Q84" s="153">
        <f t="shared" si="20"/>
        <v>0</v>
      </c>
      <c r="R84" s="152"/>
      <c r="S84" s="152"/>
      <c r="T84" s="153">
        <f t="shared" si="15"/>
        <v>75983.5</v>
      </c>
      <c r="U84" s="152">
        <v>18.899999999999999</v>
      </c>
      <c r="V84" s="154">
        <v>0</v>
      </c>
      <c r="W84" s="152">
        <v>0</v>
      </c>
      <c r="X84" s="152">
        <v>0</v>
      </c>
      <c r="Y84" s="152">
        <v>0</v>
      </c>
      <c r="Z84" s="152">
        <v>0</v>
      </c>
      <c r="AA84" s="152">
        <v>0</v>
      </c>
      <c r="AB84" s="152">
        <v>0</v>
      </c>
      <c r="AC84" s="152"/>
      <c r="AD84" s="152"/>
      <c r="AE84" s="152"/>
      <c r="AF84" s="161"/>
      <c r="AG84" s="189"/>
      <c r="AH84" s="184">
        <v>75964.600000000006</v>
      </c>
      <c r="AI84" s="152">
        <f t="shared" si="13"/>
        <v>18.899999999999999</v>
      </c>
      <c r="AJ84" s="177">
        <f t="shared" si="16"/>
        <v>75983.5</v>
      </c>
      <c r="AK84" s="16">
        <f t="shared" si="17"/>
        <v>0</v>
      </c>
      <c r="AL84" s="166">
        <f t="shared" si="18"/>
        <v>75983.5</v>
      </c>
    </row>
    <row r="85" spans="1:38" x14ac:dyDescent="0.25">
      <c r="A85" s="163">
        <v>84</v>
      </c>
      <c r="B85" s="27" t="s">
        <v>149</v>
      </c>
      <c r="C85" s="28">
        <v>63540315</v>
      </c>
      <c r="D85" s="6" t="s">
        <v>218</v>
      </c>
      <c r="E85" s="2"/>
      <c r="F85" s="51">
        <v>652870.6</v>
      </c>
      <c r="G85" s="6" t="s">
        <v>447</v>
      </c>
      <c r="H85" s="18">
        <v>45908</v>
      </c>
      <c r="I85" s="2" t="s">
        <v>118</v>
      </c>
      <c r="J85" s="2">
        <v>903200</v>
      </c>
      <c r="K85" s="2">
        <v>958536</v>
      </c>
      <c r="L85" s="7">
        <f t="shared" si="14"/>
        <v>55.335999999999999</v>
      </c>
      <c r="M85" s="15">
        <v>1000</v>
      </c>
      <c r="N85" s="17">
        <f t="shared" si="19"/>
        <v>55336</v>
      </c>
      <c r="O85" s="15"/>
      <c r="P85" s="15"/>
      <c r="Q85" s="17">
        <f t="shared" si="20"/>
        <v>55336</v>
      </c>
      <c r="R85" s="15"/>
      <c r="S85" s="15"/>
      <c r="T85" s="17">
        <f t="shared" si="15"/>
        <v>708206.6</v>
      </c>
      <c r="U85" s="15">
        <v>13686.4</v>
      </c>
      <c r="V85" s="34">
        <v>9058</v>
      </c>
      <c r="W85" s="15">
        <v>12446</v>
      </c>
      <c r="X85" s="15">
        <v>14200.2</v>
      </c>
      <c r="Y85" s="15">
        <v>168308</v>
      </c>
      <c r="Z85" s="15">
        <v>297875</v>
      </c>
      <c r="AA85" s="15">
        <v>312377</v>
      </c>
      <c r="AB85" s="15">
        <v>55336</v>
      </c>
      <c r="AC85" s="15"/>
      <c r="AD85" s="15"/>
      <c r="AE85" s="15"/>
      <c r="AF85" s="160"/>
      <c r="AG85" s="186"/>
      <c r="AH85" s="181">
        <v>54920</v>
      </c>
      <c r="AI85" s="15">
        <f t="shared" si="13"/>
        <v>883286.6</v>
      </c>
      <c r="AJ85" s="177">
        <f t="shared" si="16"/>
        <v>938206.6</v>
      </c>
      <c r="AK85" s="16">
        <f t="shared" si="17"/>
        <v>230000</v>
      </c>
      <c r="AL85" s="16">
        <f t="shared" si="18"/>
        <v>708206.6</v>
      </c>
    </row>
    <row r="86" spans="1:38" x14ac:dyDescent="0.25">
      <c r="A86" s="163">
        <v>85</v>
      </c>
      <c r="B86" s="27" t="s">
        <v>327</v>
      </c>
      <c r="C86" s="28">
        <v>1049291131</v>
      </c>
      <c r="D86" s="6" t="s">
        <v>219</v>
      </c>
      <c r="E86" s="2"/>
      <c r="F86" s="51">
        <v>38176.1</v>
      </c>
      <c r="G86" s="6" t="s">
        <v>448</v>
      </c>
      <c r="H86" s="18">
        <v>45908</v>
      </c>
      <c r="I86" s="2" t="s">
        <v>118</v>
      </c>
      <c r="J86" s="2">
        <v>592446</v>
      </c>
      <c r="K86" s="2">
        <v>614451</v>
      </c>
      <c r="L86" s="7">
        <f t="shared" si="14"/>
        <v>22.004999999999999</v>
      </c>
      <c r="M86" s="15">
        <v>1000</v>
      </c>
      <c r="N86" s="17">
        <f t="shared" si="19"/>
        <v>22005</v>
      </c>
      <c r="O86" s="15"/>
      <c r="P86" s="15">
        <v>7000</v>
      </c>
      <c r="Q86" s="17">
        <f t="shared" si="20"/>
        <v>29005</v>
      </c>
      <c r="R86" s="15"/>
      <c r="S86" s="15"/>
      <c r="T86" s="17">
        <f t="shared" si="15"/>
        <v>67181.100000000006</v>
      </c>
      <c r="U86" s="15">
        <v>31141.599999999999</v>
      </c>
      <c r="V86" s="34">
        <v>26156.9</v>
      </c>
      <c r="W86" s="15">
        <v>26393.5</v>
      </c>
      <c r="X86" s="15">
        <v>34297.199999999997</v>
      </c>
      <c r="Y86" s="15">
        <v>33019</v>
      </c>
      <c r="Z86" s="15">
        <v>32528</v>
      </c>
      <c r="AA86" s="15">
        <v>38026</v>
      </c>
      <c r="AB86" s="15">
        <v>29005</v>
      </c>
      <c r="AC86" s="15"/>
      <c r="AD86" s="15"/>
      <c r="AE86" s="15"/>
      <c r="AF86" s="160"/>
      <c r="AG86" s="186"/>
      <c r="AH86" s="181">
        <v>113.90000000000146</v>
      </c>
      <c r="AI86" s="15">
        <f t="shared" si="13"/>
        <v>250567.2</v>
      </c>
      <c r="AJ86" s="177">
        <f t="shared" si="16"/>
        <v>250681.1</v>
      </c>
      <c r="AK86" s="16">
        <f t="shared" si="17"/>
        <v>183500</v>
      </c>
      <c r="AL86" s="16">
        <f t="shared" si="18"/>
        <v>67181.100000000006</v>
      </c>
    </row>
    <row r="87" spans="1:38" x14ac:dyDescent="0.25">
      <c r="A87" s="4">
        <v>86</v>
      </c>
      <c r="B87" s="27" t="s">
        <v>285</v>
      </c>
      <c r="C87" s="28">
        <v>23151643</v>
      </c>
      <c r="D87" s="6" t="s">
        <v>274</v>
      </c>
      <c r="E87" s="2"/>
      <c r="F87" s="51">
        <v>50950.899999999994</v>
      </c>
      <c r="G87" s="6" t="s">
        <v>449</v>
      </c>
      <c r="H87" s="18">
        <v>45908</v>
      </c>
      <c r="I87" s="2" t="s">
        <v>118</v>
      </c>
      <c r="J87" s="2">
        <v>257161</v>
      </c>
      <c r="K87" s="2">
        <v>264366</v>
      </c>
      <c r="L87" s="7">
        <f t="shared" si="14"/>
        <v>7.2050000000000001</v>
      </c>
      <c r="M87" s="15">
        <v>1000</v>
      </c>
      <c r="N87" s="17">
        <f t="shared" si="19"/>
        <v>7205</v>
      </c>
      <c r="O87" s="15"/>
      <c r="P87" s="15">
        <v>7000</v>
      </c>
      <c r="Q87" s="17">
        <f t="shared" si="20"/>
        <v>14205</v>
      </c>
      <c r="R87" s="15"/>
      <c r="S87" s="15"/>
      <c r="T87" s="17">
        <f t="shared" si="15"/>
        <v>65155.899999999994</v>
      </c>
      <c r="U87" s="15">
        <v>45357.2</v>
      </c>
      <c r="V87" s="34">
        <v>15000</v>
      </c>
      <c r="W87" s="15">
        <v>12247.9</v>
      </c>
      <c r="X87" s="15">
        <v>15064.7</v>
      </c>
      <c r="Y87" s="15">
        <v>11063</v>
      </c>
      <c r="Z87" s="15">
        <v>15488</v>
      </c>
      <c r="AA87" s="15">
        <v>22322</v>
      </c>
      <c r="AB87" s="15">
        <v>14205</v>
      </c>
      <c r="AC87" s="15"/>
      <c r="AD87" s="15"/>
      <c r="AE87" s="15"/>
      <c r="AF87" s="160"/>
      <c r="AG87" s="186"/>
      <c r="AH87" s="181">
        <v>34408.100000000006</v>
      </c>
      <c r="AI87" s="15">
        <f t="shared" si="13"/>
        <v>150747.79999999999</v>
      </c>
      <c r="AJ87" s="177">
        <f t="shared" si="16"/>
        <v>185155.9</v>
      </c>
      <c r="AK87" s="16">
        <f t="shared" si="17"/>
        <v>120000</v>
      </c>
      <c r="AL87" s="16">
        <f t="shared" si="18"/>
        <v>65155.899999999994</v>
      </c>
    </row>
    <row r="88" spans="1:38" x14ac:dyDescent="0.25">
      <c r="A88" s="4">
        <v>87</v>
      </c>
      <c r="B88" s="27" t="s">
        <v>361</v>
      </c>
      <c r="C88" s="28"/>
      <c r="D88" s="6"/>
      <c r="E88" s="2"/>
      <c r="F88" s="51">
        <v>4000</v>
      </c>
      <c r="G88" s="6" t="s">
        <v>450</v>
      </c>
      <c r="H88" s="18">
        <v>45908</v>
      </c>
      <c r="I88" s="2" t="s">
        <v>118</v>
      </c>
      <c r="J88" s="2"/>
      <c r="K88" s="2"/>
      <c r="L88" s="7">
        <f t="shared" si="14"/>
        <v>0</v>
      </c>
      <c r="M88" s="15">
        <v>1000</v>
      </c>
      <c r="N88" s="17">
        <v>3000</v>
      </c>
      <c r="O88" s="15"/>
      <c r="P88" s="15">
        <v>1000</v>
      </c>
      <c r="Q88" s="17">
        <f t="shared" si="20"/>
        <v>4000</v>
      </c>
      <c r="R88" s="15"/>
      <c r="S88" s="15"/>
      <c r="T88" s="17">
        <f t="shared" si="15"/>
        <v>8000</v>
      </c>
      <c r="U88" s="15">
        <v>2700</v>
      </c>
      <c r="V88" s="34">
        <v>2700</v>
      </c>
      <c r="W88" s="15">
        <v>2700</v>
      </c>
      <c r="X88" s="15">
        <v>2700</v>
      </c>
      <c r="Y88" s="15">
        <v>4000</v>
      </c>
      <c r="Z88" s="15">
        <v>4000</v>
      </c>
      <c r="AA88" s="15">
        <v>4000</v>
      </c>
      <c r="AB88" s="15">
        <v>4000</v>
      </c>
      <c r="AC88" s="15"/>
      <c r="AD88" s="15"/>
      <c r="AE88" s="15"/>
      <c r="AF88" s="160"/>
      <c r="AG88" s="186"/>
      <c r="AH88" s="181"/>
      <c r="AI88" s="15">
        <f t="shared" si="13"/>
        <v>26800</v>
      </c>
      <c r="AJ88" s="177">
        <f t="shared" si="16"/>
        <v>26800</v>
      </c>
      <c r="AK88" s="16">
        <f t="shared" si="17"/>
        <v>18800</v>
      </c>
      <c r="AL88" s="16">
        <f t="shared" si="18"/>
        <v>8000</v>
      </c>
    </row>
    <row r="89" spans="1:38" x14ac:dyDescent="0.25">
      <c r="A89" s="167">
        <v>88</v>
      </c>
      <c r="B89" s="27" t="s">
        <v>324</v>
      </c>
      <c r="C89" s="28">
        <v>23148767</v>
      </c>
      <c r="D89" s="6" t="s">
        <v>220</v>
      </c>
      <c r="E89" s="2"/>
      <c r="F89" s="51">
        <v>210275.70000000004</v>
      </c>
      <c r="G89" s="6" t="s">
        <v>451</v>
      </c>
      <c r="H89" s="18">
        <v>45908</v>
      </c>
      <c r="I89" s="2" t="s">
        <v>118</v>
      </c>
      <c r="J89" s="41">
        <v>1005261</v>
      </c>
      <c r="K89" s="41">
        <v>1043474</v>
      </c>
      <c r="L89" s="7">
        <f t="shared" si="14"/>
        <v>38.213000000000001</v>
      </c>
      <c r="M89" s="15">
        <v>1000</v>
      </c>
      <c r="N89" s="17">
        <f t="shared" si="19"/>
        <v>38213</v>
      </c>
      <c r="O89" s="15"/>
      <c r="P89" s="15">
        <v>7000</v>
      </c>
      <c r="Q89" s="17">
        <f t="shared" si="20"/>
        <v>45213</v>
      </c>
      <c r="R89" s="15"/>
      <c r="S89" s="15"/>
      <c r="T89" s="17">
        <f t="shared" si="15"/>
        <v>255488.70000000004</v>
      </c>
      <c r="U89" s="15">
        <v>38742.9</v>
      </c>
      <c r="V89" s="34">
        <v>34566.699999999997</v>
      </c>
      <c r="W89" s="15">
        <v>47208.700000000004</v>
      </c>
      <c r="X89" s="15">
        <v>46308.5</v>
      </c>
      <c r="Y89" s="15">
        <v>57188</v>
      </c>
      <c r="Z89" s="15">
        <v>46043</v>
      </c>
      <c r="AA89" s="15">
        <v>62202</v>
      </c>
      <c r="AB89" s="15">
        <v>45213</v>
      </c>
      <c r="AC89" s="15"/>
      <c r="AD89" s="15"/>
      <c r="AE89" s="15"/>
      <c r="AF89" s="160"/>
      <c r="AG89" s="186"/>
      <c r="AH89" s="181">
        <v>28015.900000000038</v>
      </c>
      <c r="AI89" s="15">
        <f t="shared" si="13"/>
        <v>377472.80000000005</v>
      </c>
      <c r="AJ89" s="177">
        <f t="shared" si="16"/>
        <v>405488.70000000007</v>
      </c>
      <c r="AK89" s="16">
        <f t="shared" si="17"/>
        <v>150000.00000000003</v>
      </c>
      <c r="AL89" s="16">
        <f t="shared" si="18"/>
        <v>255488.70000000004</v>
      </c>
    </row>
    <row r="90" spans="1:38" x14ac:dyDescent="0.25">
      <c r="A90" s="163">
        <v>89</v>
      </c>
      <c r="B90" s="27" t="s">
        <v>49</v>
      </c>
      <c r="C90" s="28">
        <v>23148762</v>
      </c>
      <c r="D90" s="6" t="s">
        <v>221</v>
      </c>
      <c r="E90" s="2"/>
      <c r="F90" s="51">
        <v>16.399999999994179</v>
      </c>
      <c r="G90" s="6" t="s">
        <v>452</v>
      </c>
      <c r="H90" s="18">
        <v>45908</v>
      </c>
      <c r="I90" s="2" t="s">
        <v>118</v>
      </c>
      <c r="J90" s="41">
        <v>441030</v>
      </c>
      <c r="K90" s="41">
        <v>467977</v>
      </c>
      <c r="L90" s="7">
        <f t="shared" si="14"/>
        <v>26.946999999999999</v>
      </c>
      <c r="M90" s="15">
        <v>1000</v>
      </c>
      <c r="N90" s="17">
        <f t="shared" si="19"/>
        <v>26947</v>
      </c>
      <c r="O90" s="15"/>
      <c r="P90" s="15">
        <v>7000</v>
      </c>
      <c r="Q90" s="17">
        <f t="shared" si="20"/>
        <v>33947</v>
      </c>
      <c r="R90" s="15"/>
      <c r="S90" s="15"/>
      <c r="T90" s="17">
        <f t="shared" si="15"/>
        <v>33963.399999999994</v>
      </c>
      <c r="U90" s="15">
        <v>23484.3</v>
      </c>
      <c r="V90" s="34">
        <v>24760.400000000001</v>
      </c>
      <c r="W90" s="15">
        <v>26356.400000000001</v>
      </c>
      <c r="X90" s="15">
        <v>27048</v>
      </c>
      <c r="Y90" s="15">
        <v>31932</v>
      </c>
      <c r="Z90" s="15">
        <v>34699</v>
      </c>
      <c r="AA90" s="15">
        <v>31669</v>
      </c>
      <c r="AB90" s="15">
        <v>33947</v>
      </c>
      <c r="AC90" s="15"/>
      <c r="AD90" s="15"/>
      <c r="AE90" s="15"/>
      <c r="AF90" s="160"/>
      <c r="AG90" s="186"/>
      <c r="AH90" s="181">
        <v>-132.69999999999891</v>
      </c>
      <c r="AI90" s="15">
        <f t="shared" si="13"/>
        <v>233896.1</v>
      </c>
      <c r="AJ90" s="177">
        <f t="shared" si="16"/>
        <v>233763.4</v>
      </c>
      <c r="AK90" s="16">
        <f t="shared" si="17"/>
        <v>199800</v>
      </c>
      <c r="AL90" s="16">
        <f t="shared" si="18"/>
        <v>33963.399999999994</v>
      </c>
    </row>
    <row r="91" spans="1:38" x14ac:dyDescent="0.25">
      <c r="A91" s="163">
        <v>90</v>
      </c>
      <c r="B91" s="27" t="s">
        <v>325</v>
      </c>
      <c r="C91" s="28">
        <v>1002298169</v>
      </c>
      <c r="D91" s="6" t="s">
        <v>222</v>
      </c>
      <c r="E91" s="2"/>
      <c r="F91" s="51">
        <v>92535.800000000017</v>
      </c>
      <c r="G91" s="6" t="s">
        <v>453</v>
      </c>
      <c r="H91" s="18">
        <v>45908</v>
      </c>
      <c r="I91" s="2" t="s">
        <v>118</v>
      </c>
      <c r="J91" s="2">
        <v>511005</v>
      </c>
      <c r="K91" s="2">
        <v>528588</v>
      </c>
      <c r="L91" s="7">
        <f t="shared" si="14"/>
        <v>17.582999999999998</v>
      </c>
      <c r="M91" s="15">
        <v>1000</v>
      </c>
      <c r="N91" s="17">
        <f t="shared" si="19"/>
        <v>17583</v>
      </c>
      <c r="O91" s="15"/>
      <c r="P91" s="15">
        <v>7000</v>
      </c>
      <c r="Q91" s="17">
        <f t="shared" si="20"/>
        <v>24583</v>
      </c>
      <c r="R91" s="15"/>
      <c r="S91" s="15"/>
      <c r="T91" s="17">
        <f t="shared" si="15"/>
        <v>117118.80000000002</v>
      </c>
      <c r="U91" s="15">
        <v>19994.099999999999</v>
      </c>
      <c r="V91" s="34">
        <v>19857.599999999999</v>
      </c>
      <c r="W91" s="15">
        <v>19036.5</v>
      </c>
      <c r="X91" s="15">
        <v>24939.599999999999</v>
      </c>
      <c r="Y91" s="15">
        <v>25926</v>
      </c>
      <c r="Z91" s="15">
        <v>22320</v>
      </c>
      <c r="AA91" s="15">
        <v>37797</v>
      </c>
      <c r="AB91" s="15">
        <v>24583</v>
      </c>
      <c r="AC91" s="15"/>
      <c r="AD91" s="15"/>
      <c r="AE91" s="15"/>
      <c r="AF91" s="160"/>
      <c r="AG91" s="186"/>
      <c r="AH91" s="181">
        <v>72665.000000000015</v>
      </c>
      <c r="AI91" s="15">
        <f t="shared" si="13"/>
        <v>194453.8</v>
      </c>
      <c r="AJ91" s="177">
        <f t="shared" si="16"/>
        <v>267118.8</v>
      </c>
      <c r="AK91" s="16">
        <f t="shared" si="17"/>
        <v>149999.99999999997</v>
      </c>
      <c r="AL91" s="16">
        <f t="shared" si="18"/>
        <v>117118.80000000002</v>
      </c>
    </row>
    <row r="92" spans="1:38" x14ac:dyDescent="0.25">
      <c r="A92" s="4">
        <v>91</v>
      </c>
      <c r="B92" s="27" t="s">
        <v>67</v>
      </c>
      <c r="C92" s="28">
        <v>10991284</v>
      </c>
      <c r="D92" s="6" t="s">
        <v>223</v>
      </c>
      <c r="E92" s="2"/>
      <c r="F92" s="51">
        <v>91294.299999999974</v>
      </c>
      <c r="G92" s="6" t="s">
        <v>454</v>
      </c>
      <c r="H92" s="18">
        <v>45908</v>
      </c>
      <c r="I92" s="2" t="s">
        <v>118</v>
      </c>
      <c r="J92" s="2">
        <v>318514</v>
      </c>
      <c r="K92" s="2">
        <v>328862</v>
      </c>
      <c r="L92" s="7">
        <f t="shared" si="14"/>
        <v>10.348000000000001</v>
      </c>
      <c r="M92" s="15">
        <v>1000</v>
      </c>
      <c r="N92" s="17">
        <f t="shared" si="19"/>
        <v>10348</v>
      </c>
      <c r="O92" s="15"/>
      <c r="P92" s="15">
        <v>7000</v>
      </c>
      <c r="Q92" s="17">
        <f t="shared" si="20"/>
        <v>17348</v>
      </c>
      <c r="R92" s="15"/>
      <c r="S92" s="15"/>
      <c r="T92" s="17">
        <f t="shared" si="15"/>
        <v>108642.29999999997</v>
      </c>
      <c r="U92" s="15">
        <v>16531.199999999997</v>
      </c>
      <c r="V92" s="34">
        <v>17208.099999999999</v>
      </c>
      <c r="W92" s="15">
        <v>17787.699999999997</v>
      </c>
      <c r="X92" s="15">
        <v>16463.3</v>
      </c>
      <c r="Y92" s="15">
        <v>19692</v>
      </c>
      <c r="Z92" s="15">
        <v>14499</v>
      </c>
      <c r="AA92" s="15">
        <v>26318</v>
      </c>
      <c r="AB92" s="15">
        <v>17348</v>
      </c>
      <c r="AC92" s="15"/>
      <c r="AD92" s="15"/>
      <c r="AE92" s="15"/>
      <c r="AF92" s="160"/>
      <c r="AG92" s="186"/>
      <c r="AH92" s="181">
        <v>12794.999999999985</v>
      </c>
      <c r="AI92" s="15">
        <f t="shared" si="13"/>
        <v>145847.29999999999</v>
      </c>
      <c r="AJ92" s="177">
        <f t="shared" si="16"/>
        <v>158642.29999999999</v>
      </c>
      <c r="AK92" s="16">
        <f t="shared" si="17"/>
        <v>50000.000000000015</v>
      </c>
      <c r="AL92" s="16">
        <f t="shared" si="18"/>
        <v>108642.29999999997</v>
      </c>
    </row>
    <row r="93" spans="1:38" x14ac:dyDescent="0.25">
      <c r="A93" s="4">
        <v>92</v>
      </c>
      <c r="B93" s="27" t="s">
        <v>150</v>
      </c>
      <c r="C93" s="29"/>
      <c r="D93" s="6" t="s">
        <v>224</v>
      </c>
      <c r="E93" s="2"/>
      <c r="F93" s="51">
        <v>63991.299999999988</v>
      </c>
      <c r="G93" s="6" t="s">
        <v>455</v>
      </c>
      <c r="H93" s="18">
        <v>45908</v>
      </c>
      <c r="I93" s="2" t="s">
        <v>118</v>
      </c>
      <c r="J93" s="2">
        <v>189869</v>
      </c>
      <c r="K93" s="2">
        <v>200774</v>
      </c>
      <c r="L93" s="7">
        <f t="shared" si="14"/>
        <v>10.904999999999999</v>
      </c>
      <c r="M93" s="15">
        <v>1000</v>
      </c>
      <c r="N93" s="17">
        <f t="shared" si="19"/>
        <v>10905</v>
      </c>
      <c r="O93" s="15"/>
      <c r="P93" s="15">
        <v>7000</v>
      </c>
      <c r="Q93" s="17">
        <f t="shared" si="20"/>
        <v>17905</v>
      </c>
      <c r="R93" s="15"/>
      <c r="S93" s="15"/>
      <c r="T93" s="17">
        <f t="shared" si="15"/>
        <v>81896.299999999988</v>
      </c>
      <c r="U93" s="15">
        <v>15017.099999999999</v>
      </c>
      <c r="V93" s="34">
        <v>14158.900000000001</v>
      </c>
      <c r="W93" s="15">
        <v>9000</v>
      </c>
      <c r="X93" s="15">
        <v>14071.400000000001</v>
      </c>
      <c r="Y93" s="15">
        <v>16204</v>
      </c>
      <c r="Z93" s="15">
        <v>15908</v>
      </c>
      <c r="AA93" s="15">
        <v>21545</v>
      </c>
      <c r="AB93" s="15">
        <v>17905</v>
      </c>
      <c r="AC93" s="15"/>
      <c r="AD93" s="15"/>
      <c r="AE93" s="15"/>
      <c r="AF93" s="160"/>
      <c r="AG93" s="186"/>
      <c r="AH93" s="181">
        <v>86.899999999994179</v>
      </c>
      <c r="AI93" s="15">
        <f t="shared" si="13"/>
        <v>123809.4</v>
      </c>
      <c r="AJ93" s="177">
        <f t="shared" si="16"/>
        <v>123896.29999999999</v>
      </c>
      <c r="AK93" s="16">
        <f t="shared" si="17"/>
        <v>42000</v>
      </c>
      <c r="AL93" s="16">
        <f t="shared" si="18"/>
        <v>81896.299999999988</v>
      </c>
    </row>
    <row r="94" spans="1:38" s="194" customFormat="1" x14ac:dyDescent="0.25">
      <c r="A94" s="167">
        <v>93</v>
      </c>
      <c r="B94" s="39" t="s">
        <v>151</v>
      </c>
      <c r="C94" s="141"/>
      <c r="D94" s="40" t="s">
        <v>225</v>
      </c>
      <c r="E94" s="41"/>
      <c r="F94" s="58">
        <v>14883.099999999977</v>
      </c>
      <c r="G94" s="6" t="s">
        <v>456</v>
      </c>
      <c r="H94" s="18">
        <v>45908</v>
      </c>
      <c r="I94" s="2" t="s">
        <v>118</v>
      </c>
      <c r="J94" s="41">
        <v>116639</v>
      </c>
      <c r="K94" s="41">
        <v>119395</v>
      </c>
      <c r="L94" s="156">
        <f t="shared" si="14"/>
        <v>2.7559999999999998</v>
      </c>
      <c r="M94" s="15">
        <v>1000</v>
      </c>
      <c r="N94" s="17">
        <f t="shared" si="19"/>
        <v>2756</v>
      </c>
      <c r="O94" s="157"/>
      <c r="P94" s="157">
        <v>7000</v>
      </c>
      <c r="Q94" s="158">
        <f t="shared" si="20"/>
        <v>9756</v>
      </c>
      <c r="R94" s="157"/>
      <c r="S94" s="157"/>
      <c r="T94" s="158">
        <f t="shared" si="15"/>
        <v>24639.099999999977</v>
      </c>
      <c r="U94" s="157">
        <v>10700.9</v>
      </c>
      <c r="V94" s="34">
        <v>10282.299999999999</v>
      </c>
      <c r="W94" s="157">
        <v>10340.4</v>
      </c>
      <c r="X94" s="157">
        <v>12464.2</v>
      </c>
      <c r="Y94" s="157">
        <v>15261</v>
      </c>
      <c r="Z94" s="157">
        <v>16209</v>
      </c>
      <c r="AA94" s="157">
        <v>14892</v>
      </c>
      <c r="AB94" s="157">
        <v>9756</v>
      </c>
      <c r="AC94" s="157"/>
      <c r="AD94" s="157"/>
      <c r="AE94" s="157"/>
      <c r="AF94" s="162"/>
      <c r="AG94" s="188"/>
      <c r="AH94" s="183">
        <v>99733.299999999988</v>
      </c>
      <c r="AI94" s="157">
        <f t="shared" si="13"/>
        <v>99905.8</v>
      </c>
      <c r="AJ94" s="177">
        <f t="shared" si="16"/>
        <v>199639.09999999998</v>
      </c>
      <c r="AK94" s="16">
        <f t="shared" si="17"/>
        <v>175000</v>
      </c>
      <c r="AL94" s="174">
        <f t="shared" si="18"/>
        <v>24639.099999999977</v>
      </c>
    </row>
    <row r="95" spans="1:38" s="194" customFormat="1" x14ac:dyDescent="0.25">
      <c r="A95" s="163">
        <v>94</v>
      </c>
      <c r="B95" s="39" t="s">
        <v>365</v>
      </c>
      <c r="C95" s="141"/>
      <c r="D95" s="40"/>
      <c r="E95" s="41"/>
      <c r="F95" s="58">
        <v>18728</v>
      </c>
      <c r="G95" s="6" t="s">
        <v>457</v>
      </c>
      <c r="H95" s="18">
        <v>45908</v>
      </c>
      <c r="I95" s="2" t="s">
        <v>118</v>
      </c>
      <c r="J95" s="41">
        <v>18318</v>
      </c>
      <c r="K95" s="41">
        <v>28543</v>
      </c>
      <c r="L95" s="156">
        <f t="shared" si="14"/>
        <v>10.225</v>
      </c>
      <c r="M95" s="15">
        <v>1000</v>
      </c>
      <c r="N95" s="17">
        <f t="shared" si="19"/>
        <v>10225</v>
      </c>
      <c r="O95" s="157"/>
      <c r="P95" s="157">
        <v>7000</v>
      </c>
      <c r="Q95" s="158">
        <f t="shared" si="20"/>
        <v>17225</v>
      </c>
      <c r="R95" s="157"/>
      <c r="S95" s="157"/>
      <c r="T95" s="158">
        <f t="shared" si="15"/>
        <v>35953</v>
      </c>
      <c r="U95" s="157"/>
      <c r="V95" s="34"/>
      <c r="W95" s="157"/>
      <c r="X95" s="157"/>
      <c r="Y95" s="157"/>
      <c r="Z95" s="157">
        <v>17000</v>
      </c>
      <c r="AA95" s="157">
        <v>18728</v>
      </c>
      <c r="AB95" s="157">
        <v>17225</v>
      </c>
      <c r="AC95" s="157"/>
      <c r="AD95" s="157"/>
      <c r="AE95" s="157"/>
      <c r="AF95" s="162"/>
      <c r="AG95" s="188"/>
      <c r="AH95" s="183"/>
      <c r="AI95" s="157">
        <f t="shared" si="13"/>
        <v>52953</v>
      </c>
      <c r="AJ95" s="177">
        <f t="shared" si="16"/>
        <v>52953</v>
      </c>
      <c r="AK95" s="16">
        <f t="shared" si="17"/>
        <v>17000</v>
      </c>
      <c r="AL95" s="174">
        <f t="shared" si="18"/>
        <v>35953</v>
      </c>
    </row>
    <row r="96" spans="1:38" x14ac:dyDescent="0.25">
      <c r="A96" s="163">
        <v>95</v>
      </c>
      <c r="B96" s="27" t="s">
        <v>326</v>
      </c>
      <c r="C96" s="28">
        <v>3985692</v>
      </c>
      <c r="D96" s="6" t="s">
        <v>226</v>
      </c>
      <c r="E96" s="2"/>
      <c r="F96" s="51">
        <v>-9476.3999999999942</v>
      </c>
      <c r="G96" s="6" t="s">
        <v>458</v>
      </c>
      <c r="H96" s="18">
        <v>45908</v>
      </c>
      <c r="I96" s="2" t="s">
        <v>118</v>
      </c>
      <c r="J96" s="2">
        <v>285911</v>
      </c>
      <c r="K96" s="2">
        <v>301759</v>
      </c>
      <c r="L96" s="7">
        <f t="shared" si="14"/>
        <v>15.848000000000001</v>
      </c>
      <c r="M96" s="15">
        <v>1000</v>
      </c>
      <c r="N96" s="17">
        <f t="shared" si="19"/>
        <v>15848</v>
      </c>
      <c r="O96" s="15"/>
      <c r="P96" s="15">
        <v>7000</v>
      </c>
      <c r="Q96" s="17">
        <f t="shared" si="20"/>
        <v>22848</v>
      </c>
      <c r="R96" s="15"/>
      <c r="S96" s="15"/>
      <c r="T96" s="17">
        <f t="shared" si="15"/>
        <v>13371.600000000006</v>
      </c>
      <c r="U96" s="15">
        <v>17573.5</v>
      </c>
      <c r="V96" s="34">
        <v>14840</v>
      </c>
      <c r="W96" s="15">
        <v>19370.400000000001</v>
      </c>
      <c r="X96" s="15">
        <v>19640.599999999999</v>
      </c>
      <c r="Y96" s="15">
        <v>21982</v>
      </c>
      <c r="Z96" s="15">
        <v>21884</v>
      </c>
      <c r="AA96" s="15">
        <v>27076</v>
      </c>
      <c r="AB96" s="15">
        <v>22848</v>
      </c>
      <c r="AC96" s="15"/>
      <c r="AD96" s="15"/>
      <c r="AE96" s="15"/>
      <c r="AF96" s="160"/>
      <c r="AG96" s="186"/>
      <c r="AH96" s="181">
        <v>-242.89999999999418</v>
      </c>
      <c r="AI96" s="15">
        <f t="shared" si="13"/>
        <v>165214.5</v>
      </c>
      <c r="AJ96" s="177">
        <f t="shared" si="16"/>
        <v>164971.6</v>
      </c>
      <c r="AK96" s="16">
        <f t="shared" si="17"/>
        <v>151600</v>
      </c>
      <c r="AL96" s="16">
        <f t="shared" si="18"/>
        <v>13371.600000000006</v>
      </c>
    </row>
    <row r="97" spans="1:38" x14ac:dyDescent="0.25">
      <c r="A97" s="4">
        <v>96</v>
      </c>
      <c r="B97" s="27" t="s">
        <v>152</v>
      </c>
      <c r="C97" s="28">
        <v>23151128</v>
      </c>
      <c r="D97" s="6" t="s">
        <v>227</v>
      </c>
      <c r="E97" s="2"/>
      <c r="F97" s="51">
        <v>3964.5999999999949</v>
      </c>
      <c r="G97" s="6" t="s">
        <v>459</v>
      </c>
      <c r="H97" s="18">
        <v>45908</v>
      </c>
      <c r="I97" s="2" t="s">
        <v>118</v>
      </c>
      <c r="J97" s="2">
        <v>92016</v>
      </c>
      <c r="K97" s="2">
        <v>96100</v>
      </c>
      <c r="L97" s="7">
        <f t="shared" si="14"/>
        <v>4.0839999999999996</v>
      </c>
      <c r="M97" s="15">
        <v>1000</v>
      </c>
      <c r="N97" s="17">
        <f t="shared" si="19"/>
        <v>4083.9999999999995</v>
      </c>
      <c r="O97" s="15"/>
      <c r="P97" s="15">
        <v>1000</v>
      </c>
      <c r="Q97" s="17">
        <f t="shared" si="20"/>
        <v>5084</v>
      </c>
      <c r="R97" s="15"/>
      <c r="S97" s="15"/>
      <c r="T97" s="17">
        <f t="shared" si="15"/>
        <v>9048.5999999999949</v>
      </c>
      <c r="U97" s="15">
        <v>9272.9</v>
      </c>
      <c r="V97" s="34">
        <v>9000</v>
      </c>
      <c r="W97" s="15">
        <v>9183.2999999999993</v>
      </c>
      <c r="X97" s="15">
        <v>2700</v>
      </c>
      <c r="Y97" s="15">
        <v>4000</v>
      </c>
      <c r="Z97" s="15">
        <v>4000</v>
      </c>
      <c r="AA97" s="15">
        <v>4000</v>
      </c>
      <c r="AB97" s="15">
        <v>4000</v>
      </c>
      <c r="AC97" s="15"/>
      <c r="AD97" s="15"/>
      <c r="AE97" s="15"/>
      <c r="AF97" s="160"/>
      <c r="AG97" s="186"/>
      <c r="AH97" s="181">
        <v>14008.399999999998</v>
      </c>
      <c r="AI97" s="15">
        <f t="shared" si="13"/>
        <v>46156.2</v>
      </c>
      <c r="AJ97" s="177">
        <f t="shared" si="16"/>
        <v>60164.599999999991</v>
      </c>
      <c r="AK97" s="16">
        <f t="shared" si="17"/>
        <v>51116</v>
      </c>
      <c r="AL97" s="16">
        <f t="shared" si="18"/>
        <v>9048.5999999999949</v>
      </c>
    </row>
    <row r="98" spans="1:38" x14ac:dyDescent="0.25">
      <c r="A98" s="4">
        <v>97</v>
      </c>
      <c r="B98" s="27" t="s">
        <v>47</v>
      </c>
      <c r="C98" s="28">
        <v>3984700</v>
      </c>
      <c r="D98" s="6" t="s">
        <v>228</v>
      </c>
      <c r="E98" s="2"/>
      <c r="F98" s="51">
        <v>8774.6999999999971</v>
      </c>
      <c r="G98" s="6" t="s">
        <v>460</v>
      </c>
      <c r="H98" s="18">
        <v>45908</v>
      </c>
      <c r="I98" s="2" t="s">
        <v>118</v>
      </c>
      <c r="J98" s="2">
        <v>92599</v>
      </c>
      <c r="K98" s="2">
        <v>94724</v>
      </c>
      <c r="L98" s="7">
        <f t="shared" si="14"/>
        <v>2.125</v>
      </c>
      <c r="M98" s="15">
        <v>1000</v>
      </c>
      <c r="N98" s="17">
        <v>3000</v>
      </c>
      <c r="O98" s="15"/>
      <c r="P98" s="15">
        <v>7000</v>
      </c>
      <c r="Q98" s="17">
        <f t="shared" si="20"/>
        <v>10000</v>
      </c>
      <c r="R98" s="15"/>
      <c r="S98" s="15"/>
      <c r="T98" s="17">
        <f t="shared" si="15"/>
        <v>18774.699999999997</v>
      </c>
      <c r="U98" s="15">
        <v>9669.1</v>
      </c>
      <c r="V98" s="34">
        <v>9771.2999999999993</v>
      </c>
      <c r="W98" s="15">
        <v>9394</v>
      </c>
      <c r="X98" s="15">
        <v>9011.7999999999993</v>
      </c>
      <c r="Y98" s="15">
        <v>9022</v>
      </c>
      <c r="Z98" s="15">
        <v>9394</v>
      </c>
      <c r="AA98" s="15">
        <v>10384</v>
      </c>
      <c r="AB98" s="15">
        <v>9125</v>
      </c>
      <c r="AC98" s="15"/>
      <c r="AD98" s="15"/>
      <c r="AE98" s="15"/>
      <c r="AF98" s="160"/>
      <c r="AG98" s="186"/>
      <c r="AH98" s="181">
        <v>9028.5</v>
      </c>
      <c r="AI98" s="15">
        <f t="shared" si="13"/>
        <v>75771.199999999997</v>
      </c>
      <c r="AJ98" s="177">
        <f t="shared" si="16"/>
        <v>84799.7</v>
      </c>
      <c r="AK98" s="16">
        <f t="shared" si="17"/>
        <v>66025</v>
      </c>
      <c r="AL98" s="16">
        <f t="shared" si="18"/>
        <v>18774.699999999997</v>
      </c>
    </row>
    <row r="99" spans="1:38" x14ac:dyDescent="0.25">
      <c r="A99" s="167">
        <v>98</v>
      </c>
      <c r="B99" s="27" t="s">
        <v>286</v>
      </c>
      <c r="C99" s="28">
        <v>1050919046</v>
      </c>
      <c r="D99" s="6" t="s">
        <v>229</v>
      </c>
      <c r="E99" s="2"/>
      <c r="F99" s="51">
        <v>29967.799999999988</v>
      </c>
      <c r="G99" s="6" t="s">
        <v>461</v>
      </c>
      <c r="H99" s="18">
        <v>45908</v>
      </c>
      <c r="I99" s="2" t="s">
        <v>118</v>
      </c>
      <c r="J99" s="41">
        <v>480122</v>
      </c>
      <c r="K99" s="41">
        <v>497817</v>
      </c>
      <c r="L99" s="7">
        <f t="shared" si="14"/>
        <v>17.695</v>
      </c>
      <c r="M99" s="15">
        <v>1000</v>
      </c>
      <c r="N99" s="17">
        <f t="shared" si="19"/>
        <v>17695</v>
      </c>
      <c r="O99" s="15"/>
      <c r="P99" s="15">
        <v>7000</v>
      </c>
      <c r="Q99" s="17">
        <f t="shared" si="20"/>
        <v>24695</v>
      </c>
      <c r="R99" s="15"/>
      <c r="S99" s="15"/>
      <c r="T99" s="17">
        <f t="shared" si="15"/>
        <v>54662.799999999988</v>
      </c>
      <c r="U99" s="15">
        <v>28767.200000000001</v>
      </c>
      <c r="V99" s="34">
        <v>23434.600000000002</v>
      </c>
      <c r="W99" s="15">
        <v>23032.1</v>
      </c>
      <c r="X99" s="15">
        <v>23687.3</v>
      </c>
      <c r="Y99" s="15">
        <v>25886</v>
      </c>
      <c r="Z99" s="15">
        <v>20574</v>
      </c>
      <c r="AA99" s="15">
        <v>29965</v>
      </c>
      <c r="AB99" s="15">
        <v>24695</v>
      </c>
      <c r="AC99" s="15"/>
      <c r="AD99" s="15"/>
      <c r="AE99" s="15"/>
      <c r="AF99" s="160"/>
      <c r="AG99" s="186"/>
      <c r="AH99" s="181">
        <v>21.599999999991269</v>
      </c>
      <c r="AI99" s="15">
        <f t="shared" si="13"/>
        <v>200041.2</v>
      </c>
      <c r="AJ99" s="177">
        <f t="shared" si="16"/>
        <v>200062.8</v>
      </c>
      <c r="AK99" s="16">
        <f t="shared" si="17"/>
        <v>145400</v>
      </c>
      <c r="AL99" s="16">
        <f t="shared" si="18"/>
        <v>54662.799999999988</v>
      </c>
    </row>
    <row r="100" spans="1:38" x14ac:dyDescent="0.25">
      <c r="A100" s="163">
        <v>99</v>
      </c>
      <c r="B100" s="27" t="s">
        <v>287</v>
      </c>
      <c r="C100" s="28">
        <v>3981270</v>
      </c>
      <c r="D100" s="6" t="s">
        <v>230</v>
      </c>
      <c r="E100" s="2"/>
      <c r="F100" s="51">
        <v>6966.1999999999825</v>
      </c>
      <c r="G100" s="6" t="s">
        <v>462</v>
      </c>
      <c r="H100" s="18">
        <v>45908</v>
      </c>
      <c r="I100" s="2" t="s">
        <v>118</v>
      </c>
      <c r="J100" s="2">
        <v>485690</v>
      </c>
      <c r="K100" s="2">
        <v>498891</v>
      </c>
      <c r="L100" s="7">
        <f t="shared" si="14"/>
        <v>13.201000000000001</v>
      </c>
      <c r="M100" s="15">
        <v>1000</v>
      </c>
      <c r="N100" s="17">
        <f t="shared" si="19"/>
        <v>13201</v>
      </c>
      <c r="O100" s="15"/>
      <c r="P100" s="15">
        <v>7000</v>
      </c>
      <c r="Q100" s="17">
        <f t="shared" si="20"/>
        <v>20201</v>
      </c>
      <c r="R100" s="15"/>
      <c r="S100" s="15"/>
      <c r="T100" s="17">
        <f t="shared" si="15"/>
        <v>27167.199999999983</v>
      </c>
      <c r="U100" s="15">
        <v>28336.7</v>
      </c>
      <c r="V100" s="34">
        <v>19044.199999999997</v>
      </c>
      <c r="W100" s="15">
        <v>19506.900000000001</v>
      </c>
      <c r="X100" s="15">
        <v>26179.3</v>
      </c>
      <c r="Y100" s="15">
        <v>27622</v>
      </c>
      <c r="Z100" s="15">
        <v>25404</v>
      </c>
      <c r="AA100" s="15">
        <v>25785</v>
      </c>
      <c r="AB100" s="15">
        <v>20201</v>
      </c>
      <c r="AC100" s="15"/>
      <c r="AD100" s="15"/>
      <c r="AE100" s="15"/>
      <c r="AF100" s="160"/>
      <c r="AG100" s="186"/>
      <c r="AH100" s="181">
        <v>7088.0999999999913</v>
      </c>
      <c r="AI100" s="15">
        <f t="shared" si="13"/>
        <v>192079.09999999998</v>
      </c>
      <c r="AJ100" s="177">
        <f t="shared" si="16"/>
        <v>199167.19999999995</v>
      </c>
      <c r="AK100" s="16">
        <f t="shared" si="17"/>
        <v>171999.99999999997</v>
      </c>
      <c r="AL100" s="16">
        <f t="shared" si="18"/>
        <v>27167.199999999983</v>
      </c>
    </row>
    <row r="101" spans="1:38" x14ac:dyDescent="0.25">
      <c r="A101" s="163">
        <v>100</v>
      </c>
      <c r="B101" s="27" t="s">
        <v>288</v>
      </c>
      <c r="C101" s="28">
        <v>3983234</v>
      </c>
      <c r="D101" s="6" t="s">
        <v>231</v>
      </c>
      <c r="E101" s="2"/>
      <c r="F101" s="51">
        <v>63526.699999999983</v>
      </c>
      <c r="G101" s="6" t="s">
        <v>463</v>
      </c>
      <c r="H101" s="18">
        <v>45908</v>
      </c>
      <c r="I101" s="2" t="s">
        <v>118</v>
      </c>
      <c r="J101" s="2">
        <v>262358</v>
      </c>
      <c r="K101" s="2">
        <v>274204</v>
      </c>
      <c r="L101" s="7">
        <f t="shared" si="14"/>
        <v>11.846</v>
      </c>
      <c r="M101" s="15">
        <v>1000</v>
      </c>
      <c r="N101" s="17">
        <f t="shared" si="19"/>
        <v>11846</v>
      </c>
      <c r="O101" s="15"/>
      <c r="P101" s="15">
        <v>7000</v>
      </c>
      <c r="Q101" s="17">
        <f t="shared" si="20"/>
        <v>18846</v>
      </c>
      <c r="R101" s="15"/>
      <c r="S101" s="15"/>
      <c r="T101" s="17">
        <f t="shared" si="15"/>
        <v>82372.699999999983</v>
      </c>
      <c r="U101" s="15">
        <v>12142.2</v>
      </c>
      <c r="V101" s="34">
        <v>14596.400000000001</v>
      </c>
      <c r="W101" s="15">
        <v>17663.8</v>
      </c>
      <c r="X101" s="15">
        <v>15999.2</v>
      </c>
      <c r="Y101" s="15">
        <v>20379</v>
      </c>
      <c r="Z101" s="15">
        <v>20789</v>
      </c>
      <c r="AA101" s="15">
        <v>16695</v>
      </c>
      <c r="AB101" s="15">
        <v>18846</v>
      </c>
      <c r="AC101" s="15"/>
      <c r="AD101" s="15"/>
      <c r="AE101" s="15"/>
      <c r="AF101" s="160"/>
      <c r="AG101" s="186"/>
      <c r="AH101" s="181">
        <v>45262.099999999991</v>
      </c>
      <c r="AI101" s="15">
        <f t="shared" si="13"/>
        <v>137110.6</v>
      </c>
      <c r="AJ101" s="177">
        <f t="shared" si="16"/>
        <v>182372.7</v>
      </c>
      <c r="AK101" s="16">
        <f t="shared" si="17"/>
        <v>100000.00000000003</v>
      </c>
      <c r="AL101" s="16">
        <f t="shared" si="18"/>
        <v>82372.699999999983</v>
      </c>
    </row>
    <row r="102" spans="1:38" x14ac:dyDescent="0.25">
      <c r="A102" s="4">
        <v>101</v>
      </c>
      <c r="B102" s="27" t="s">
        <v>70</v>
      </c>
      <c r="C102" s="28">
        <v>4944297</v>
      </c>
      <c r="D102" s="6" t="s">
        <v>232</v>
      </c>
      <c r="E102" s="2"/>
      <c r="F102" s="51">
        <v>106423.59999999998</v>
      </c>
      <c r="G102" s="6" t="s">
        <v>464</v>
      </c>
      <c r="H102" s="18">
        <v>45908</v>
      </c>
      <c r="I102" s="2" t="s">
        <v>118</v>
      </c>
      <c r="J102" s="2">
        <v>339416</v>
      </c>
      <c r="K102" s="2">
        <v>368312</v>
      </c>
      <c r="L102" s="7">
        <f t="shared" si="14"/>
        <v>28.896000000000001</v>
      </c>
      <c r="M102" s="15">
        <v>1000</v>
      </c>
      <c r="N102" s="17">
        <f t="shared" si="19"/>
        <v>28896</v>
      </c>
      <c r="O102" s="15"/>
      <c r="P102" s="15">
        <v>7000</v>
      </c>
      <c r="Q102" s="17">
        <f t="shared" si="20"/>
        <v>35896</v>
      </c>
      <c r="R102" s="15"/>
      <c r="S102" s="15"/>
      <c r="T102" s="17">
        <f t="shared" si="15"/>
        <v>142319.59999999998</v>
      </c>
      <c r="U102" s="15">
        <v>19347.3</v>
      </c>
      <c r="V102" s="34">
        <v>13629.7</v>
      </c>
      <c r="W102" s="15">
        <v>19261.900000000001</v>
      </c>
      <c r="X102" s="15">
        <v>18850.3</v>
      </c>
      <c r="Y102" s="15">
        <v>20515</v>
      </c>
      <c r="Z102" s="15">
        <v>19366</v>
      </c>
      <c r="AA102" s="15">
        <v>30071</v>
      </c>
      <c r="AB102" s="15">
        <v>35896</v>
      </c>
      <c r="AC102" s="15"/>
      <c r="AD102" s="15"/>
      <c r="AE102" s="15"/>
      <c r="AF102" s="160"/>
      <c r="AG102" s="186"/>
      <c r="AH102" s="181">
        <v>65382.399999999994</v>
      </c>
      <c r="AI102" s="15">
        <f t="shared" ref="AI102:AI120" si="21">SUM(U102:AF102)</f>
        <v>176937.2</v>
      </c>
      <c r="AJ102" s="177">
        <f t="shared" si="16"/>
        <v>242319.6</v>
      </c>
      <c r="AK102" s="16">
        <f t="shared" si="17"/>
        <v>100000.00000000003</v>
      </c>
      <c r="AL102" s="16">
        <f t="shared" si="18"/>
        <v>142319.59999999998</v>
      </c>
    </row>
    <row r="103" spans="1:38" s="194" customFormat="1" x14ac:dyDescent="0.25">
      <c r="A103" s="4">
        <v>102</v>
      </c>
      <c r="B103" s="39" t="s">
        <v>327</v>
      </c>
      <c r="C103" s="57">
        <v>3443066</v>
      </c>
      <c r="D103" s="147" t="s">
        <v>233</v>
      </c>
      <c r="E103" s="141"/>
      <c r="F103" s="148">
        <v>20034.600000000006</v>
      </c>
      <c r="G103" s="6" t="s">
        <v>465</v>
      </c>
      <c r="H103" s="18">
        <v>45908</v>
      </c>
      <c r="I103" s="2" t="s">
        <v>118</v>
      </c>
      <c r="J103" s="141">
        <v>179648</v>
      </c>
      <c r="K103" s="141">
        <v>188785</v>
      </c>
      <c r="L103" s="156">
        <f t="shared" ref="L103:L120" si="22">(K103-J103)/1000</f>
        <v>9.1370000000000005</v>
      </c>
      <c r="M103" s="15">
        <v>1000</v>
      </c>
      <c r="N103" s="158">
        <f t="shared" si="19"/>
        <v>9137</v>
      </c>
      <c r="O103" s="157"/>
      <c r="P103" s="157"/>
      <c r="Q103" s="158">
        <f t="shared" si="20"/>
        <v>9137</v>
      </c>
      <c r="R103" s="157"/>
      <c r="S103" s="157"/>
      <c r="T103" s="158">
        <f t="shared" si="15"/>
        <v>29171.600000000006</v>
      </c>
      <c r="U103" s="157">
        <v>3140.9</v>
      </c>
      <c r="V103" s="34">
        <v>10458.700000000001</v>
      </c>
      <c r="W103" s="157">
        <v>7605.5</v>
      </c>
      <c r="X103" s="157">
        <v>5600</v>
      </c>
      <c r="Y103" s="157">
        <v>4025.0000000000005</v>
      </c>
      <c r="Z103" s="157">
        <v>9124</v>
      </c>
      <c r="AA103" s="157">
        <v>10246</v>
      </c>
      <c r="AB103" s="157">
        <v>9137</v>
      </c>
      <c r="AC103" s="157"/>
      <c r="AD103" s="157"/>
      <c r="AE103" s="157"/>
      <c r="AF103" s="162"/>
      <c r="AG103" s="188"/>
      <c r="AH103" s="183">
        <v>29834.5</v>
      </c>
      <c r="AI103" s="15">
        <f t="shared" si="21"/>
        <v>59337.1</v>
      </c>
      <c r="AJ103" s="177">
        <f t="shared" si="16"/>
        <v>89171.6</v>
      </c>
      <c r="AK103" s="16">
        <f t="shared" si="17"/>
        <v>60000</v>
      </c>
      <c r="AL103" s="16">
        <f t="shared" si="18"/>
        <v>29171.600000000006</v>
      </c>
    </row>
    <row r="104" spans="1:38" s="195" customFormat="1" x14ac:dyDescent="0.25">
      <c r="A104" s="167">
        <v>103</v>
      </c>
      <c r="B104" s="42" t="s">
        <v>284</v>
      </c>
      <c r="C104" s="142"/>
      <c r="D104" s="33" t="s">
        <v>256</v>
      </c>
      <c r="E104" s="36"/>
      <c r="F104" s="56">
        <v>1</v>
      </c>
      <c r="G104" s="33"/>
      <c r="H104" s="18">
        <v>45908</v>
      </c>
      <c r="I104" s="2" t="s">
        <v>118</v>
      </c>
      <c r="J104" s="36">
        <v>423</v>
      </c>
      <c r="K104" s="36">
        <v>423</v>
      </c>
      <c r="L104" s="151">
        <f t="shared" si="22"/>
        <v>0</v>
      </c>
      <c r="M104" s="15">
        <v>1000</v>
      </c>
      <c r="N104" s="153">
        <f t="shared" si="19"/>
        <v>0</v>
      </c>
      <c r="O104" s="152"/>
      <c r="P104" s="152"/>
      <c r="Q104" s="153">
        <f t="shared" si="20"/>
        <v>0</v>
      </c>
      <c r="R104" s="152"/>
      <c r="S104" s="152"/>
      <c r="T104" s="153">
        <f t="shared" si="15"/>
        <v>1</v>
      </c>
      <c r="U104" s="152">
        <v>0</v>
      </c>
      <c r="V104" s="154">
        <v>0</v>
      </c>
      <c r="W104" s="152">
        <v>0</v>
      </c>
      <c r="X104" s="152">
        <v>0</v>
      </c>
      <c r="Y104" s="152">
        <v>0</v>
      </c>
      <c r="Z104" s="152">
        <v>1</v>
      </c>
      <c r="AA104" s="152">
        <v>0</v>
      </c>
      <c r="AB104" s="152">
        <v>0</v>
      </c>
      <c r="AC104" s="152"/>
      <c r="AD104" s="152"/>
      <c r="AE104" s="152"/>
      <c r="AF104" s="161"/>
      <c r="AG104" s="189"/>
      <c r="AH104" s="184">
        <v>0</v>
      </c>
      <c r="AI104" s="152">
        <f t="shared" si="21"/>
        <v>1</v>
      </c>
      <c r="AJ104" s="177">
        <f t="shared" si="16"/>
        <v>1</v>
      </c>
      <c r="AK104" s="16">
        <f t="shared" si="17"/>
        <v>0</v>
      </c>
      <c r="AL104" s="166">
        <f t="shared" si="18"/>
        <v>1</v>
      </c>
    </row>
    <row r="105" spans="1:38" x14ac:dyDescent="0.25">
      <c r="A105" s="163">
        <v>104</v>
      </c>
      <c r="B105" s="27" t="s">
        <v>289</v>
      </c>
      <c r="C105" s="28">
        <v>1050920336</v>
      </c>
      <c r="D105" s="6" t="s">
        <v>234</v>
      </c>
      <c r="E105" s="2"/>
      <c r="F105" s="51">
        <v>5430.3999999999651</v>
      </c>
      <c r="G105" s="6" t="s">
        <v>466</v>
      </c>
      <c r="H105" s="18">
        <v>45908</v>
      </c>
      <c r="I105" s="2" t="s">
        <v>118</v>
      </c>
      <c r="J105" s="41">
        <v>736526</v>
      </c>
      <c r="K105" s="41">
        <v>764272</v>
      </c>
      <c r="L105" s="7">
        <f t="shared" si="22"/>
        <v>27.745999999999999</v>
      </c>
      <c r="M105" s="15">
        <v>1000</v>
      </c>
      <c r="N105" s="17">
        <f t="shared" si="19"/>
        <v>27746</v>
      </c>
      <c r="O105" s="15"/>
      <c r="P105" s="15">
        <v>7000</v>
      </c>
      <c r="Q105" s="17">
        <f t="shared" si="20"/>
        <v>34746</v>
      </c>
      <c r="R105" s="15"/>
      <c r="S105" s="15"/>
      <c r="T105" s="17">
        <f t="shared" si="15"/>
        <v>40176.399999999965</v>
      </c>
      <c r="U105" s="15">
        <v>26875.8</v>
      </c>
      <c r="V105" s="34">
        <v>23070.6</v>
      </c>
      <c r="W105" s="15">
        <v>26649</v>
      </c>
      <c r="X105" s="15">
        <v>28627.899999999998</v>
      </c>
      <c r="Y105" s="15">
        <v>35107</v>
      </c>
      <c r="Z105" s="15">
        <v>41264</v>
      </c>
      <c r="AA105" s="15">
        <v>44830</v>
      </c>
      <c r="AB105" s="15">
        <v>34746</v>
      </c>
      <c r="AC105" s="15"/>
      <c r="AD105" s="15"/>
      <c r="AE105" s="15"/>
      <c r="AF105" s="160"/>
      <c r="AG105" s="186"/>
      <c r="AH105" s="181">
        <v>9006.099999999984</v>
      </c>
      <c r="AI105" s="15">
        <f t="shared" si="21"/>
        <v>261170.3</v>
      </c>
      <c r="AJ105" s="177">
        <f t="shared" si="16"/>
        <v>270176.39999999997</v>
      </c>
      <c r="AK105" s="16">
        <f t="shared" si="17"/>
        <v>230000</v>
      </c>
      <c r="AL105" s="16">
        <f t="shared" si="18"/>
        <v>40176.399999999965</v>
      </c>
    </row>
    <row r="106" spans="1:38" s="194" customFormat="1" x14ac:dyDescent="0.25">
      <c r="A106" s="163">
        <v>105</v>
      </c>
      <c r="B106" s="39" t="s">
        <v>328</v>
      </c>
      <c r="C106" s="57">
        <v>30783184</v>
      </c>
      <c r="D106" s="40" t="s">
        <v>235</v>
      </c>
      <c r="E106" s="41"/>
      <c r="F106" s="58">
        <v>11646.2</v>
      </c>
      <c r="G106" s="6" t="s">
        <v>467</v>
      </c>
      <c r="H106" s="18">
        <v>45908</v>
      </c>
      <c r="I106" s="2" t="s">
        <v>118</v>
      </c>
      <c r="J106" s="41">
        <v>66231</v>
      </c>
      <c r="K106" s="41">
        <v>68169</v>
      </c>
      <c r="L106" s="156">
        <f t="shared" si="22"/>
        <v>1.9379999999999999</v>
      </c>
      <c r="M106" s="15">
        <v>1000</v>
      </c>
      <c r="N106" s="17">
        <v>3000</v>
      </c>
      <c r="O106" s="157"/>
      <c r="P106" s="157"/>
      <c r="Q106" s="158">
        <f t="shared" si="20"/>
        <v>3000</v>
      </c>
      <c r="R106" s="157"/>
      <c r="S106" s="157"/>
      <c r="T106" s="158">
        <f t="shared" si="15"/>
        <v>14646.2</v>
      </c>
      <c r="U106" s="157">
        <v>2846.2</v>
      </c>
      <c r="V106" s="34">
        <v>2700</v>
      </c>
      <c r="W106" s="157">
        <v>2700</v>
      </c>
      <c r="X106" s="157">
        <v>2700</v>
      </c>
      <c r="Y106" s="157">
        <v>3000</v>
      </c>
      <c r="Z106" s="157">
        <v>3000</v>
      </c>
      <c r="AA106" s="157">
        <v>3000</v>
      </c>
      <c r="AB106" s="157">
        <v>3000</v>
      </c>
      <c r="AC106" s="157"/>
      <c r="AD106" s="157"/>
      <c r="AE106" s="157"/>
      <c r="AF106" s="162"/>
      <c r="AG106" s="188"/>
      <c r="AH106" s="183">
        <v>17000</v>
      </c>
      <c r="AI106" s="157">
        <f t="shared" si="21"/>
        <v>22946.2</v>
      </c>
      <c r="AJ106" s="177">
        <f t="shared" si="16"/>
        <v>39946.199999999997</v>
      </c>
      <c r="AK106" s="16">
        <f t="shared" si="17"/>
        <v>25299.999999999996</v>
      </c>
      <c r="AL106" s="174">
        <f t="shared" si="18"/>
        <v>14646.2</v>
      </c>
    </row>
    <row r="107" spans="1:38" s="194" customFormat="1" x14ac:dyDescent="0.25">
      <c r="A107" s="4">
        <v>106</v>
      </c>
      <c r="B107" s="39" t="s">
        <v>290</v>
      </c>
      <c r="C107" s="57">
        <v>30783184</v>
      </c>
      <c r="D107" s="40" t="s">
        <v>270</v>
      </c>
      <c r="E107" s="41"/>
      <c r="F107" s="58">
        <v>43940</v>
      </c>
      <c r="G107" s="6" t="s">
        <v>468</v>
      </c>
      <c r="H107" s="18">
        <v>45908</v>
      </c>
      <c r="I107" s="2" t="s">
        <v>118</v>
      </c>
      <c r="J107" s="41">
        <v>108786</v>
      </c>
      <c r="K107" s="41">
        <v>117552</v>
      </c>
      <c r="L107" s="156">
        <f t="shared" si="22"/>
        <v>8.766</v>
      </c>
      <c r="M107" s="15">
        <v>1000</v>
      </c>
      <c r="N107" s="158">
        <f t="shared" si="19"/>
        <v>8766</v>
      </c>
      <c r="O107" s="157"/>
      <c r="P107" s="157">
        <v>7000</v>
      </c>
      <c r="Q107" s="158">
        <f t="shared" si="20"/>
        <v>15766</v>
      </c>
      <c r="R107" s="157"/>
      <c r="S107" s="157"/>
      <c r="T107" s="158">
        <f t="shared" si="15"/>
        <v>59706</v>
      </c>
      <c r="U107" s="157">
        <v>11177.6</v>
      </c>
      <c r="V107" s="34">
        <v>9311.4</v>
      </c>
      <c r="W107" s="157">
        <v>11624.2</v>
      </c>
      <c r="X107" s="157">
        <v>10682</v>
      </c>
      <c r="Y107" s="157">
        <v>11292</v>
      </c>
      <c r="Z107" s="157">
        <v>15732</v>
      </c>
      <c r="AA107" s="157">
        <v>18221</v>
      </c>
      <c r="AB107" s="157">
        <v>15766</v>
      </c>
      <c r="AC107" s="157"/>
      <c r="AD107" s="157"/>
      <c r="AE107" s="157"/>
      <c r="AF107" s="162"/>
      <c r="AG107" s="188"/>
      <c r="AH107" s="183">
        <v>-0.19999999999708962</v>
      </c>
      <c r="AI107" s="157">
        <f t="shared" si="21"/>
        <v>103806.2</v>
      </c>
      <c r="AJ107" s="177">
        <f t="shared" si="16"/>
        <v>103806</v>
      </c>
      <c r="AK107" s="16">
        <f t="shared" si="17"/>
        <v>44100</v>
      </c>
      <c r="AL107" s="16">
        <f t="shared" si="18"/>
        <v>59706</v>
      </c>
    </row>
    <row r="108" spans="1:38" s="194" customFormat="1" x14ac:dyDescent="0.25">
      <c r="A108" s="4">
        <v>107</v>
      </c>
      <c r="B108" s="39" t="s">
        <v>77</v>
      </c>
      <c r="C108" s="57">
        <v>7982190</v>
      </c>
      <c r="D108" s="40" t="s">
        <v>265</v>
      </c>
      <c r="E108" s="41"/>
      <c r="F108" s="58">
        <v>-34.5</v>
      </c>
      <c r="G108" s="6" t="s">
        <v>469</v>
      </c>
      <c r="H108" s="18">
        <v>45908</v>
      </c>
      <c r="I108" s="2" t="s">
        <v>118</v>
      </c>
      <c r="J108" s="41">
        <v>130157</v>
      </c>
      <c r="K108" s="41">
        <v>146387</v>
      </c>
      <c r="L108" s="156">
        <f>(K108-J108)/1000</f>
        <v>16.23</v>
      </c>
      <c r="M108" s="15">
        <v>1000</v>
      </c>
      <c r="N108" s="158">
        <f t="shared" si="19"/>
        <v>16230</v>
      </c>
      <c r="O108" s="157"/>
      <c r="P108" s="157">
        <v>7000</v>
      </c>
      <c r="Q108" s="158">
        <f t="shared" si="20"/>
        <v>23230</v>
      </c>
      <c r="R108" s="157"/>
      <c r="S108" s="157"/>
      <c r="T108" s="158">
        <f t="shared" si="15"/>
        <v>23195.5</v>
      </c>
      <c r="U108" s="157">
        <v>4056.5</v>
      </c>
      <c r="V108" s="34">
        <v>4043.9</v>
      </c>
      <c r="W108" s="157">
        <v>14678.300000000001</v>
      </c>
      <c r="X108" s="157">
        <v>17579.8</v>
      </c>
      <c r="Y108" s="157">
        <v>42753</v>
      </c>
      <c r="Z108" s="157">
        <v>31257</v>
      </c>
      <c r="AA108" s="157">
        <v>19497</v>
      </c>
      <c r="AB108" s="157">
        <v>23230</v>
      </c>
      <c r="AC108" s="157"/>
      <c r="AD108" s="157"/>
      <c r="AE108" s="157"/>
      <c r="AF108" s="162"/>
      <c r="AG108" s="188"/>
      <c r="AH108" s="183">
        <v>-0.2999999999992724</v>
      </c>
      <c r="AI108" s="157">
        <f t="shared" si="21"/>
        <v>157095.5</v>
      </c>
      <c r="AJ108" s="177">
        <f t="shared" si="16"/>
        <v>157095.20000000001</v>
      </c>
      <c r="AK108" s="16">
        <f t="shared" si="17"/>
        <v>133899.70000000001</v>
      </c>
      <c r="AL108" s="16">
        <f t="shared" si="18"/>
        <v>23195.5</v>
      </c>
    </row>
    <row r="109" spans="1:38" x14ac:dyDescent="0.25">
      <c r="A109" s="167">
        <v>108</v>
      </c>
      <c r="B109" s="27" t="s">
        <v>363</v>
      </c>
      <c r="C109" s="28"/>
      <c r="D109" s="6" t="s">
        <v>236</v>
      </c>
      <c r="E109" s="2"/>
      <c r="F109" s="51">
        <v>36494.5</v>
      </c>
      <c r="G109" s="6" t="s">
        <v>470</v>
      </c>
      <c r="H109" s="18">
        <v>45908</v>
      </c>
      <c r="I109" s="2" t="s">
        <v>118</v>
      </c>
      <c r="J109" s="2">
        <v>660598</v>
      </c>
      <c r="K109" s="2">
        <v>668350</v>
      </c>
      <c r="L109" s="7">
        <f>(K109-J109)/1000</f>
        <v>7.7519999999999998</v>
      </c>
      <c r="M109" s="15">
        <v>1000</v>
      </c>
      <c r="N109" s="158">
        <f t="shared" si="19"/>
        <v>7752</v>
      </c>
      <c r="O109" s="15"/>
      <c r="P109" s="15"/>
      <c r="Q109" s="17">
        <f t="shared" si="20"/>
        <v>7752</v>
      </c>
      <c r="R109" s="15"/>
      <c r="S109" s="15"/>
      <c r="T109" s="17">
        <f t="shared" si="15"/>
        <v>44246.5</v>
      </c>
      <c r="U109" s="15">
        <v>25401.599999999999</v>
      </c>
      <c r="V109" s="34">
        <v>19202.400000000001</v>
      </c>
      <c r="W109" s="15">
        <v>14084</v>
      </c>
      <c r="X109" s="15">
        <v>2700</v>
      </c>
      <c r="Y109" s="15">
        <v>3000</v>
      </c>
      <c r="Z109" s="15">
        <v>3000</v>
      </c>
      <c r="AA109" s="15">
        <v>13724</v>
      </c>
      <c r="AB109" s="15">
        <v>7752</v>
      </c>
      <c r="AC109" s="15"/>
      <c r="AD109" s="15"/>
      <c r="AE109" s="15"/>
      <c r="AF109" s="160"/>
      <c r="AG109" s="186"/>
      <c r="AH109" s="181">
        <v>-17.5</v>
      </c>
      <c r="AI109" s="15">
        <f t="shared" si="21"/>
        <v>88864</v>
      </c>
      <c r="AJ109" s="177">
        <f t="shared" si="16"/>
        <v>88846.5</v>
      </c>
      <c r="AK109" s="16">
        <f t="shared" si="17"/>
        <v>44600</v>
      </c>
      <c r="AL109" s="16">
        <f t="shared" si="18"/>
        <v>44246.5</v>
      </c>
    </row>
    <row r="110" spans="1:38" x14ac:dyDescent="0.25">
      <c r="A110" s="163">
        <v>109</v>
      </c>
      <c r="B110" s="27" t="s">
        <v>292</v>
      </c>
      <c r="C110" s="28">
        <v>2763953</v>
      </c>
      <c r="D110" s="6" t="s">
        <v>237</v>
      </c>
      <c r="E110" s="2"/>
      <c r="F110" s="51">
        <v>18800.700000000004</v>
      </c>
      <c r="G110" s="6" t="s">
        <v>471</v>
      </c>
      <c r="H110" s="18">
        <v>45908</v>
      </c>
      <c r="I110" s="2" t="s">
        <v>118</v>
      </c>
      <c r="J110" s="2">
        <v>245003</v>
      </c>
      <c r="K110" s="2">
        <v>252853</v>
      </c>
      <c r="L110" s="7">
        <f t="shared" si="22"/>
        <v>7.85</v>
      </c>
      <c r="M110" s="15">
        <v>1000</v>
      </c>
      <c r="N110" s="17">
        <f t="shared" si="19"/>
        <v>7850</v>
      </c>
      <c r="O110" s="15"/>
      <c r="P110" s="15">
        <v>7000</v>
      </c>
      <c r="Q110" s="17">
        <f t="shared" si="20"/>
        <v>14850</v>
      </c>
      <c r="R110" s="15"/>
      <c r="S110" s="15"/>
      <c r="T110" s="17">
        <f t="shared" si="15"/>
        <v>33650.700000000004</v>
      </c>
      <c r="U110" s="15">
        <v>13380.5</v>
      </c>
      <c r="V110" s="34">
        <v>21167.300000000003</v>
      </c>
      <c r="W110" s="15">
        <v>14858.900000000001</v>
      </c>
      <c r="X110" s="15">
        <v>16334.5</v>
      </c>
      <c r="Y110" s="15">
        <v>17896</v>
      </c>
      <c r="Z110" s="15">
        <v>16154</v>
      </c>
      <c r="AA110" s="15">
        <v>18771</v>
      </c>
      <c r="AB110" s="15">
        <v>14850</v>
      </c>
      <c r="AC110" s="15"/>
      <c r="AD110" s="15"/>
      <c r="AE110" s="15"/>
      <c r="AF110" s="160"/>
      <c r="AG110" s="186"/>
      <c r="AH110" s="181">
        <v>538.50000000000182</v>
      </c>
      <c r="AI110" s="15">
        <f t="shared" si="21"/>
        <v>133412.20000000001</v>
      </c>
      <c r="AJ110" s="177">
        <f t="shared" si="16"/>
        <v>133950.70000000001</v>
      </c>
      <c r="AK110" s="16">
        <f t="shared" si="17"/>
        <v>100300</v>
      </c>
      <c r="AL110" s="16">
        <f t="shared" si="18"/>
        <v>33650.700000000004</v>
      </c>
    </row>
    <row r="111" spans="1:38" s="194" customFormat="1" x14ac:dyDescent="0.25">
      <c r="A111" s="163">
        <v>110</v>
      </c>
      <c r="B111" s="39" t="s">
        <v>291</v>
      </c>
      <c r="C111" s="57">
        <v>23151952</v>
      </c>
      <c r="D111" s="40" t="s">
        <v>238</v>
      </c>
      <c r="E111" s="41"/>
      <c r="F111" s="58">
        <v>278.5</v>
      </c>
      <c r="G111" s="6" t="s">
        <v>472</v>
      </c>
      <c r="H111" s="18">
        <v>45908</v>
      </c>
      <c r="I111" s="2" t="s">
        <v>118</v>
      </c>
      <c r="J111" s="41">
        <v>45775</v>
      </c>
      <c r="K111" s="41">
        <v>45775</v>
      </c>
      <c r="L111" s="151">
        <f t="shared" si="22"/>
        <v>0</v>
      </c>
      <c r="M111" s="15">
        <v>1000</v>
      </c>
      <c r="N111" s="17">
        <v>3000</v>
      </c>
      <c r="O111" s="157"/>
      <c r="P111" s="157"/>
      <c r="Q111" s="158">
        <f t="shared" si="20"/>
        <v>3000</v>
      </c>
      <c r="R111" s="157"/>
      <c r="S111" s="157"/>
      <c r="T111" s="158">
        <f t="shared" si="15"/>
        <v>3278.5</v>
      </c>
      <c r="U111" s="157">
        <v>2700</v>
      </c>
      <c r="V111" s="34">
        <v>2700</v>
      </c>
      <c r="W111" s="34">
        <v>2700</v>
      </c>
      <c r="X111" s="34">
        <v>2782.5</v>
      </c>
      <c r="Y111" s="34">
        <v>8386</v>
      </c>
      <c r="Z111" s="157">
        <v>10</v>
      </c>
      <c r="AA111" s="157">
        <v>3000</v>
      </c>
      <c r="AB111" s="157">
        <v>3000</v>
      </c>
      <c r="AC111" s="157"/>
      <c r="AD111" s="157"/>
      <c r="AE111" s="157"/>
      <c r="AF111" s="162"/>
      <c r="AG111" s="188"/>
      <c r="AH111" s="183">
        <v>22000</v>
      </c>
      <c r="AI111" s="157">
        <f t="shared" si="21"/>
        <v>25278.5</v>
      </c>
      <c r="AJ111" s="177">
        <f t="shared" si="16"/>
        <v>47278.5</v>
      </c>
      <c r="AK111" s="16">
        <f t="shared" si="17"/>
        <v>44000</v>
      </c>
      <c r="AL111" s="174">
        <f t="shared" si="18"/>
        <v>3278.5</v>
      </c>
    </row>
    <row r="112" spans="1:38" x14ac:dyDescent="0.25">
      <c r="A112" s="4">
        <v>111</v>
      </c>
      <c r="B112" s="27" t="s">
        <v>105</v>
      </c>
      <c r="C112" s="28">
        <v>23151952</v>
      </c>
      <c r="D112" s="6" t="s">
        <v>277</v>
      </c>
      <c r="E112" s="2"/>
      <c r="F112" s="51">
        <v>42333</v>
      </c>
      <c r="G112" s="6" t="s">
        <v>473</v>
      </c>
      <c r="H112" s="18">
        <v>45908</v>
      </c>
      <c r="I112" s="2" t="s">
        <v>118</v>
      </c>
      <c r="J112" s="2">
        <v>583184</v>
      </c>
      <c r="K112" s="2">
        <v>615957</v>
      </c>
      <c r="L112" s="7">
        <f t="shared" si="22"/>
        <v>32.773000000000003</v>
      </c>
      <c r="M112" s="15">
        <v>1000</v>
      </c>
      <c r="N112" s="17">
        <f t="shared" si="19"/>
        <v>32773</v>
      </c>
      <c r="O112" s="15"/>
      <c r="P112" s="15">
        <v>7000</v>
      </c>
      <c r="Q112" s="17">
        <f t="shared" si="20"/>
        <v>39773</v>
      </c>
      <c r="R112" s="15"/>
      <c r="S112" s="15"/>
      <c r="T112" s="17">
        <f t="shared" si="15"/>
        <v>82106</v>
      </c>
      <c r="U112" s="15">
        <v>23275</v>
      </c>
      <c r="V112" s="34">
        <v>21618.1</v>
      </c>
      <c r="W112" s="15">
        <v>24059</v>
      </c>
      <c r="X112" s="15">
        <v>25762.799999999999</v>
      </c>
      <c r="Y112" s="15">
        <v>36159</v>
      </c>
      <c r="Z112" s="15">
        <v>40591</v>
      </c>
      <c r="AA112" s="15">
        <v>49952</v>
      </c>
      <c r="AB112" s="15">
        <v>39773</v>
      </c>
      <c r="AC112" s="15"/>
      <c r="AD112" s="15"/>
      <c r="AE112" s="15"/>
      <c r="AF112" s="160"/>
      <c r="AG112" s="186"/>
      <c r="AH112" s="181">
        <v>30116.100000000006</v>
      </c>
      <c r="AI112" s="15">
        <f t="shared" si="21"/>
        <v>261189.90000000002</v>
      </c>
      <c r="AJ112" s="177">
        <f t="shared" si="16"/>
        <v>291306</v>
      </c>
      <c r="AK112" s="16">
        <f t="shared" si="17"/>
        <v>209200</v>
      </c>
      <c r="AL112" s="16">
        <f t="shared" si="18"/>
        <v>82106</v>
      </c>
    </row>
    <row r="113" spans="1:38" x14ac:dyDescent="0.25">
      <c r="A113" s="4">
        <v>112</v>
      </c>
      <c r="B113" s="27" t="s">
        <v>66</v>
      </c>
      <c r="C113" s="28">
        <v>1016925786</v>
      </c>
      <c r="D113" s="6" t="s">
        <v>239</v>
      </c>
      <c r="E113" s="2"/>
      <c r="F113" s="51">
        <v>16941.300000000003</v>
      </c>
      <c r="G113" s="6" t="s">
        <v>474</v>
      </c>
      <c r="H113" s="18">
        <v>45908</v>
      </c>
      <c r="I113" s="2" t="s">
        <v>118</v>
      </c>
      <c r="J113" s="2">
        <v>286491</v>
      </c>
      <c r="K113" s="2">
        <v>286491</v>
      </c>
      <c r="L113" s="151">
        <f t="shared" si="22"/>
        <v>0</v>
      </c>
      <c r="M113" s="15">
        <v>1000</v>
      </c>
      <c r="N113" s="17">
        <v>10000</v>
      </c>
      <c r="O113" s="15"/>
      <c r="P113" s="15">
        <v>7000</v>
      </c>
      <c r="Q113" s="17">
        <f t="shared" si="20"/>
        <v>17000</v>
      </c>
      <c r="R113" s="15"/>
      <c r="S113" s="15"/>
      <c r="T113" s="17">
        <f t="shared" si="15"/>
        <v>33941.300000000003</v>
      </c>
      <c r="U113" s="15">
        <v>15000</v>
      </c>
      <c r="V113" s="34">
        <v>15000</v>
      </c>
      <c r="W113" s="15">
        <v>15000</v>
      </c>
      <c r="X113" s="15">
        <v>15000</v>
      </c>
      <c r="Y113" s="15">
        <v>17000</v>
      </c>
      <c r="Z113" s="15">
        <v>17000</v>
      </c>
      <c r="AA113" s="15">
        <v>17000</v>
      </c>
      <c r="AB113" s="15">
        <v>17000</v>
      </c>
      <c r="AC113" s="15"/>
      <c r="AD113" s="15"/>
      <c r="AE113" s="15"/>
      <c r="AF113" s="160"/>
      <c r="AG113" s="186"/>
      <c r="AH113" s="181">
        <v>72341.3</v>
      </c>
      <c r="AI113" s="15">
        <f t="shared" si="21"/>
        <v>128000</v>
      </c>
      <c r="AJ113" s="177">
        <f t="shared" si="16"/>
        <v>200341.3</v>
      </c>
      <c r="AK113" s="16">
        <f t="shared" si="17"/>
        <v>166400</v>
      </c>
      <c r="AL113" s="16">
        <f t="shared" si="18"/>
        <v>33941.300000000003</v>
      </c>
    </row>
    <row r="114" spans="1:38" x14ac:dyDescent="0.25">
      <c r="A114" s="167">
        <v>113</v>
      </c>
      <c r="B114" s="27" t="s">
        <v>293</v>
      </c>
      <c r="C114" s="28">
        <v>23151423</v>
      </c>
      <c r="D114" s="6" t="s">
        <v>240</v>
      </c>
      <c r="E114" s="2"/>
      <c r="F114" s="51">
        <v>80431.700000000012</v>
      </c>
      <c r="G114" s="6" t="s">
        <v>475</v>
      </c>
      <c r="H114" s="18">
        <v>45908</v>
      </c>
      <c r="I114" s="2" t="s">
        <v>118</v>
      </c>
      <c r="J114" s="2">
        <v>543396</v>
      </c>
      <c r="K114" s="2">
        <v>597355</v>
      </c>
      <c r="L114" s="7">
        <f t="shared" si="22"/>
        <v>53.959000000000003</v>
      </c>
      <c r="M114" s="15">
        <v>1000</v>
      </c>
      <c r="N114" s="17">
        <f t="shared" si="19"/>
        <v>53959</v>
      </c>
      <c r="O114" s="15"/>
      <c r="P114" s="15">
        <v>7000</v>
      </c>
      <c r="Q114" s="17">
        <f t="shared" si="20"/>
        <v>60959</v>
      </c>
      <c r="R114" s="15"/>
      <c r="S114" s="15"/>
      <c r="T114" s="17">
        <f t="shared" si="15"/>
        <v>141390.70000000001</v>
      </c>
      <c r="U114" s="15">
        <v>21664.300000000003</v>
      </c>
      <c r="V114" s="34">
        <v>23403.8</v>
      </c>
      <c r="W114" s="15">
        <v>23476.6</v>
      </c>
      <c r="X114" s="15">
        <v>28898.100000000002</v>
      </c>
      <c r="Y114" s="15">
        <v>38039</v>
      </c>
      <c r="Z114" s="15">
        <v>35487</v>
      </c>
      <c r="AA114" s="15">
        <v>44902</v>
      </c>
      <c r="AB114" s="15">
        <v>60959</v>
      </c>
      <c r="AC114" s="15"/>
      <c r="AD114" s="15"/>
      <c r="AE114" s="15"/>
      <c r="AF114" s="160"/>
      <c r="AG114" s="186"/>
      <c r="AH114" s="181">
        <v>-39.099999999991269</v>
      </c>
      <c r="AI114" s="15">
        <f t="shared" si="21"/>
        <v>276829.80000000005</v>
      </c>
      <c r="AJ114" s="177">
        <f t="shared" si="16"/>
        <v>276790.70000000007</v>
      </c>
      <c r="AK114" s="16">
        <f t="shared" si="17"/>
        <v>135400.00000000006</v>
      </c>
      <c r="AL114" s="16">
        <f t="shared" si="18"/>
        <v>141390.70000000001</v>
      </c>
    </row>
    <row r="115" spans="1:38" x14ac:dyDescent="0.25">
      <c r="A115" s="163">
        <v>114</v>
      </c>
      <c r="B115" s="27" t="s">
        <v>62</v>
      </c>
      <c r="C115" s="28">
        <v>32005647</v>
      </c>
      <c r="D115" s="6" t="s">
        <v>275</v>
      </c>
      <c r="E115" s="2"/>
      <c r="F115" s="51">
        <v>-57.099999999994907</v>
      </c>
      <c r="G115" s="6" t="s">
        <v>476</v>
      </c>
      <c r="H115" s="18">
        <v>45908</v>
      </c>
      <c r="I115" s="2" t="s">
        <v>118</v>
      </c>
      <c r="J115" s="2">
        <v>272240</v>
      </c>
      <c r="K115" s="2">
        <v>296000</v>
      </c>
      <c r="L115" s="7">
        <f t="shared" si="22"/>
        <v>23.76</v>
      </c>
      <c r="M115" s="15">
        <v>1000</v>
      </c>
      <c r="N115" s="17">
        <f t="shared" si="19"/>
        <v>23760</v>
      </c>
      <c r="O115" s="15"/>
      <c r="P115" s="15">
        <v>7000</v>
      </c>
      <c r="Q115" s="17">
        <f t="shared" si="20"/>
        <v>30760</v>
      </c>
      <c r="R115" s="15"/>
      <c r="S115" s="15"/>
      <c r="T115" s="17">
        <f t="shared" si="15"/>
        <v>30702.900000000005</v>
      </c>
      <c r="U115" s="15">
        <v>14613.900000000001</v>
      </c>
      <c r="V115" s="34">
        <v>14056</v>
      </c>
      <c r="W115" s="15">
        <v>15175.3</v>
      </c>
      <c r="X115" s="15">
        <v>19166</v>
      </c>
      <c r="Y115" s="15">
        <v>24759</v>
      </c>
      <c r="Z115" s="15">
        <v>21771</v>
      </c>
      <c r="AA115" s="15">
        <v>30374</v>
      </c>
      <c r="AB115" s="15">
        <v>30760</v>
      </c>
      <c r="AC115" s="2"/>
      <c r="AD115" s="15"/>
      <c r="AE115" s="15"/>
      <c r="AF115" s="160"/>
      <c r="AG115" s="186"/>
      <c r="AH115" s="181">
        <v>427.70000000000255</v>
      </c>
      <c r="AI115" s="15">
        <f t="shared" si="21"/>
        <v>170675.20000000001</v>
      </c>
      <c r="AJ115" s="177">
        <f t="shared" si="16"/>
        <v>171102.90000000002</v>
      </c>
      <c r="AK115" s="16">
        <f t="shared" si="17"/>
        <v>140400.00000000003</v>
      </c>
      <c r="AL115" s="16">
        <f t="shared" si="18"/>
        <v>30702.900000000005</v>
      </c>
    </row>
    <row r="116" spans="1:38" x14ac:dyDescent="0.25">
      <c r="A116" s="163">
        <v>115</v>
      </c>
      <c r="B116" s="27" t="s">
        <v>294</v>
      </c>
      <c r="C116" s="28">
        <v>28484278</v>
      </c>
      <c r="D116" s="6" t="s">
        <v>241</v>
      </c>
      <c r="E116" s="2"/>
      <c r="F116" s="51">
        <v>5.5000000000145519</v>
      </c>
      <c r="G116" s="6" t="s">
        <v>477</v>
      </c>
      <c r="H116" s="18">
        <v>45908</v>
      </c>
      <c r="I116" s="2" t="s">
        <v>118</v>
      </c>
      <c r="J116" s="2">
        <v>718280</v>
      </c>
      <c r="K116" s="2">
        <v>746235</v>
      </c>
      <c r="L116" s="7">
        <f t="shared" si="22"/>
        <v>27.954999999999998</v>
      </c>
      <c r="M116" s="15">
        <v>1000</v>
      </c>
      <c r="N116" s="17">
        <f t="shared" si="19"/>
        <v>27955</v>
      </c>
      <c r="O116" s="15"/>
      <c r="P116" s="15">
        <v>10000</v>
      </c>
      <c r="Q116" s="17">
        <f t="shared" si="20"/>
        <v>37955</v>
      </c>
      <c r="R116" s="15"/>
      <c r="S116" s="15"/>
      <c r="T116" s="17">
        <f t="shared" si="15"/>
        <v>37960.500000000015</v>
      </c>
      <c r="U116" s="15">
        <v>32846.6</v>
      </c>
      <c r="V116" s="34">
        <v>30210.400000000001</v>
      </c>
      <c r="W116" s="15">
        <v>28557.7</v>
      </c>
      <c r="X116" s="15">
        <v>33073.4</v>
      </c>
      <c r="Y116" s="15">
        <v>33625</v>
      </c>
      <c r="Z116" s="15">
        <v>36844</v>
      </c>
      <c r="AA116" s="15">
        <v>52633</v>
      </c>
      <c r="AB116" s="15">
        <v>37955</v>
      </c>
      <c r="AC116" s="15"/>
      <c r="AD116" s="15"/>
      <c r="AE116" s="15"/>
      <c r="AF116" s="160"/>
      <c r="AG116" s="186"/>
      <c r="AH116" s="181">
        <v>1315.4000000000087</v>
      </c>
      <c r="AI116" s="15">
        <f t="shared" si="21"/>
        <v>285745.09999999998</v>
      </c>
      <c r="AJ116" s="177">
        <f t="shared" si="16"/>
        <v>287060.5</v>
      </c>
      <c r="AK116" s="16">
        <f t="shared" si="17"/>
        <v>249100</v>
      </c>
      <c r="AL116" s="16">
        <f t="shared" si="18"/>
        <v>37960.500000000015</v>
      </c>
    </row>
    <row r="117" spans="1:38" x14ac:dyDescent="0.25">
      <c r="A117" s="4">
        <v>116</v>
      </c>
      <c r="B117" s="27" t="s">
        <v>295</v>
      </c>
      <c r="C117" s="28">
        <v>3982644</v>
      </c>
      <c r="D117" s="6" t="s">
        <v>242</v>
      </c>
      <c r="E117" s="2"/>
      <c r="F117" s="51">
        <v>134350.39999999999</v>
      </c>
      <c r="G117" s="6" t="s">
        <v>478</v>
      </c>
      <c r="H117" s="18">
        <v>45908</v>
      </c>
      <c r="I117" s="2" t="s">
        <v>118</v>
      </c>
      <c r="J117" s="2">
        <v>498906</v>
      </c>
      <c r="K117" s="2">
        <v>523089</v>
      </c>
      <c r="L117" s="7">
        <f t="shared" si="22"/>
        <v>24.183</v>
      </c>
      <c r="M117" s="15">
        <v>1000</v>
      </c>
      <c r="N117" s="17">
        <f t="shared" si="19"/>
        <v>24183</v>
      </c>
      <c r="O117" s="15"/>
      <c r="P117" s="15">
        <v>7000</v>
      </c>
      <c r="Q117" s="17">
        <f t="shared" si="20"/>
        <v>31183</v>
      </c>
      <c r="R117" s="15"/>
      <c r="S117" s="15"/>
      <c r="T117" s="17">
        <f t="shared" si="15"/>
        <v>165533.4</v>
      </c>
      <c r="U117" s="15">
        <v>18571.699999999997</v>
      </c>
      <c r="V117" s="34">
        <v>20062.7</v>
      </c>
      <c r="W117" s="15">
        <v>21219.1</v>
      </c>
      <c r="X117" s="15">
        <v>22186.5</v>
      </c>
      <c r="Y117" s="15">
        <v>24944</v>
      </c>
      <c r="Z117" s="15">
        <v>27721</v>
      </c>
      <c r="AA117" s="15">
        <v>36662</v>
      </c>
      <c r="AB117" s="15">
        <v>31183</v>
      </c>
      <c r="AC117" s="15"/>
      <c r="AD117" s="15"/>
      <c r="AE117" s="15"/>
      <c r="AF117" s="160"/>
      <c r="AG117" s="186"/>
      <c r="AH117" s="181">
        <v>2983.3999999999942</v>
      </c>
      <c r="AI117" s="15">
        <f t="shared" si="21"/>
        <v>202550</v>
      </c>
      <c r="AJ117" s="177">
        <f t="shared" si="16"/>
        <v>205533.4</v>
      </c>
      <c r="AK117" s="16">
        <f t="shared" si="17"/>
        <v>40000</v>
      </c>
      <c r="AL117" s="16">
        <f t="shared" si="18"/>
        <v>165533.4</v>
      </c>
    </row>
    <row r="118" spans="1:38" x14ac:dyDescent="0.25">
      <c r="A118" s="4">
        <v>117</v>
      </c>
      <c r="B118" s="27" t="s">
        <v>296</v>
      </c>
      <c r="C118" s="28">
        <v>30783147</v>
      </c>
      <c r="D118" s="40" t="s">
        <v>263</v>
      </c>
      <c r="E118" s="2"/>
      <c r="F118" s="51">
        <v>-37.19999999999709</v>
      </c>
      <c r="G118" s="6" t="s">
        <v>479</v>
      </c>
      <c r="H118" s="18">
        <v>45908</v>
      </c>
      <c r="I118" s="2" t="s">
        <v>118</v>
      </c>
      <c r="J118" s="41">
        <v>315333</v>
      </c>
      <c r="K118" s="41">
        <v>323561</v>
      </c>
      <c r="L118" s="7">
        <f t="shared" si="22"/>
        <v>8.2279999999999998</v>
      </c>
      <c r="M118" s="15">
        <v>1000</v>
      </c>
      <c r="N118" s="17">
        <f t="shared" si="19"/>
        <v>8228</v>
      </c>
      <c r="O118" s="15"/>
      <c r="P118" s="15">
        <v>7000</v>
      </c>
      <c r="Q118" s="17">
        <f t="shared" si="20"/>
        <v>15228</v>
      </c>
      <c r="R118" s="15"/>
      <c r="S118" s="15"/>
      <c r="T118" s="17">
        <f t="shared" si="15"/>
        <v>15190.800000000003</v>
      </c>
      <c r="U118" s="15">
        <v>15075.2</v>
      </c>
      <c r="V118" s="34">
        <v>14163.8</v>
      </c>
      <c r="W118" s="15">
        <v>15979.6</v>
      </c>
      <c r="X118" s="15">
        <v>15061.2</v>
      </c>
      <c r="Y118" s="15">
        <v>15045</v>
      </c>
      <c r="Z118" s="15">
        <v>17049</v>
      </c>
      <c r="AA118" s="15">
        <v>17921</v>
      </c>
      <c r="AB118" s="15">
        <v>15228</v>
      </c>
      <c r="AC118" s="15"/>
      <c r="AD118" s="15"/>
      <c r="AE118" s="15"/>
      <c r="AF118" s="160"/>
      <c r="AG118" s="186"/>
      <c r="AH118" s="181">
        <v>14168</v>
      </c>
      <c r="AI118" s="15">
        <f t="shared" si="21"/>
        <v>125522.8</v>
      </c>
      <c r="AJ118" s="177">
        <f t="shared" si="16"/>
        <v>139690.79999999999</v>
      </c>
      <c r="AK118" s="16">
        <f t="shared" si="17"/>
        <v>124499.99999999999</v>
      </c>
      <c r="AL118" s="16">
        <f t="shared" si="18"/>
        <v>15190.800000000003</v>
      </c>
    </row>
    <row r="119" spans="1:38" x14ac:dyDescent="0.25">
      <c r="A119" s="208">
        <v>118</v>
      </c>
      <c r="B119" s="27" t="s">
        <v>297</v>
      </c>
      <c r="C119" s="28">
        <v>3980693</v>
      </c>
      <c r="D119" s="40" t="s">
        <v>264</v>
      </c>
      <c r="E119" s="2"/>
      <c r="F119" s="51">
        <v>41.5</v>
      </c>
      <c r="G119" s="6" t="s">
        <v>480</v>
      </c>
      <c r="H119" s="18">
        <v>45908</v>
      </c>
      <c r="I119" s="2" t="s">
        <v>118</v>
      </c>
      <c r="J119" s="2">
        <v>825340</v>
      </c>
      <c r="K119" s="2">
        <v>848881</v>
      </c>
      <c r="L119" s="7">
        <f t="shared" si="22"/>
        <v>23.541</v>
      </c>
      <c r="M119" s="15">
        <v>1000</v>
      </c>
      <c r="N119" s="17">
        <f t="shared" si="19"/>
        <v>23541</v>
      </c>
      <c r="O119" s="15"/>
      <c r="P119" s="15">
        <v>7000</v>
      </c>
      <c r="Q119" s="17">
        <f t="shared" si="20"/>
        <v>30541</v>
      </c>
      <c r="R119" s="15"/>
      <c r="S119" s="15"/>
      <c r="T119" s="17">
        <f t="shared" si="15"/>
        <v>30582.5</v>
      </c>
      <c r="U119" s="15">
        <v>26854.799999999999</v>
      </c>
      <c r="V119" s="34">
        <v>25841.9</v>
      </c>
      <c r="W119" s="15">
        <v>26928.3</v>
      </c>
      <c r="X119" s="15">
        <v>31766.7</v>
      </c>
      <c r="Y119" s="15">
        <v>45699</v>
      </c>
      <c r="Z119" s="15">
        <v>44231</v>
      </c>
      <c r="AA119" s="15">
        <v>44157</v>
      </c>
      <c r="AB119" s="15">
        <v>30541</v>
      </c>
      <c r="AC119" s="15"/>
      <c r="AD119" s="15"/>
      <c r="AE119" s="15"/>
      <c r="AF119" s="160"/>
      <c r="AG119" s="186"/>
      <c r="AH119" s="181">
        <v>62.80000000000291</v>
      </c>
      <c r="AI119" s="15">
        <f t="shared" si="21"/>
        <v>276019.7</v>
      </c>
      <c r="AJ119" s="177">
        <f t="shared" si="16"/>
        <v>276082.5</v>
      </c>
      <c r="AK119" s="16">
        <f t="shared" si="17"/>
        <v>245500</v>
      </c>
      <c r="AL119" s="16">
        <f t="shared" si="18"/>
        <v>30582.5</v>
      </c>
    </row>
    <row r="120" spans="1:38" s="194" customFormat="1" x14ac:dyDescent="0.25">
      <c r="A120" s="208">
        <v>119</v>
      </c>
      <c r="B120" s="39" t="s">
        <v>298</v>
      </c>
      <c r="C120" s="57">
        <v>23151382</v>
      </c>
      <c r="D120" s="40" t="s">
        <v>262</v>
      </c>
      <c r="E120" s="41"/>
      <c r="F120" s="58">
        <v>44800</v>
      </c>
      <c r="G120" s="6" t="s">
        <v>481</v>
      </c>
      <c r="H120" s="18">
        <v>45908</v>
      </c>
      <c r="I120" s="2" t="s">
        <v>118</v>
      </c>
      <c r="J120" s="41">
        <v>454</v>
      </c>
      <c r="K120" s="41">
        <v>454</v>
      </c>
      <c r="L120" s="151">
        <f t="shared" si="22"/>
        <v>0</v>
      </c>
      <c r="M120" s="15">
        <v>1000</v>
      </c>
      <c r="N120" s="158">
        <v>3000</v>
      </c>
      <c r="O120" s="157"/>
      <c r="P120" s="157">
        <v>1000</v>
      </c>
      <c r="Q120" s="158">
        <f t="shared" si="20"/>
        <v>4000</v>
      </c>
      <c r="R120" s="157"/>
      <c r="S120" s="157"/>
      <c r="T120" s="158">
        <f t="shared" si="15"/>
        <v>48800</v>
      </c>
      <c r="U120" s="157">
        <v>2700</v>
      </c>
      <c r="V120" s="34">
        <v>2700</v>
      </c>
      <c r="W120" s="34">
        <v>2700</v>
      </c>
      <c r="X120" s="34">
        <v>2700</v>
      </c>
      <c r="Y120" s="34">
        <v>4000</v>
      </c>
      <c r="Z120" s="34">
        <v>4000</v>
      </c>
      <c r="AA120" s="34">
        <v>4000</v>
      </c>
      <c r="AB120" s="34">
        <v>4000</v>
      </c>
      <c r="AC120" s="34"/>
      <c r="AD120" s="34"/>
      <c r="AE120" s="157"/>
      <c r="AF120" s="162"/>
      <c r="AG120" s="188"/>
      <c r="AH120" s="183">
        <v>22000</v>
      </c>
      <c r="AI120" s="157">
        <f t="shared" si="21"/>
        <v>26800</v>
      </c>
      <c r="AJ120" s="177">
        <f t="shared" si="16"/>
        <v>48800</v>
      </c>
      <c r="AK120" s="16">
        <f t="shared" si="17"/>
        <v>0</v>
      </c>
      <c r="AL120" s="174">
        <f t="shared" si="18"/>
        <v>48800</v>
      </c>
    </row>
    <row r="121" spans="1:38" x14ac:dyDescent="0.25">
      <c r="A121" s="196"/>
      <c r="G121" s="198">
        <f>COUNTA(G3:G120)</f>
        <v>113</v>
      </c>
      <c r="P121" s="201">
        <f>COUNT(P3:P120)</f>
        <v>101</v>
      </c>
      <c r="R121" s="201">
        <f>COUNT(R3:R120)</f>
        <v>0</v>
      </c>
      <c r="S121" s="201">
        <f>COUNT(S3:S120)</f>
        <v>0</v>
      </c>
    </row>
    <row r="122" spans="1:38" x14ac:dyDescent="0.25">
      <c r="G122" s="204" t="s">
        <v>484</v>
      </c>
    </row>
    <row r="123" spans="1:38" x14ac:dyDescent="0.25">
      <c r="G123" s="204"/>
    </row>
  </sheetData>
  <mergeCells count="2">
    <mergeCell ref="U1:AF1"/>
    <mergeCell ref="AM3:AM20"/>
  </mergeCells>
  <phoneticPr fontId="7" type="noConversion"/>
  <conditionalFormatting sqref="L3:L120 Q3:Q120 N3:N120">
    <cfRule type="cellIs" dxfId="9" priority="1" operator="equal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BFD0-9F34-48E3-8A59-C4E0784C65BA}">
  <sheetPr codeName="Hoja2"/>
  <dimension ref="A1:AY7"/>
  <sheetViews>
    <sheetView showGridLines="0" zoomScale="77" zoomScaleNormal="77" workbookViewId="0">
      <selection activeCell="A3" sqref="A3"/>
    </sheetView>
  </sheetViews>
  <sheetFormatPr baseColWidth="10" defaultRowHeight="15" x14ac:dyDescent="0.25"/>
  <cols>
    <col min="1" max="1" width="5.28515625" style="3" customWidth="1"/>
    <col min="2" max="2" width="27.42578125" style="3" customWidth="1"/>
    <col min="3" max="3" width="19.140625" style="3" customWidth="1"/>
    <col min="4" max="4" width="17.140625" style="3" customWidth="1"/>
    <col min="5" max="5" width="15.42578125" style="3" customWidth="1"/>
    <col min="6" max="6" width="13.5703125" style="3" customWidth="1"/>
    <col min="7" max="7" width="14.85546875" style="3" customWidth="1"/>
    <col min="8" max="8" width="13.5703125" style="3" customWidth="1"/>
    <col min="9" max="11" width="17.140625" style="3" customWidth="1"/>
    <col min="12" max="12" width="18.7109375" style="3" customWidth="1"/>
    <col min="13" max="13" width="13.7109375" style="3" customWidth="1"/>
    <col min="14" max="14" width="21.7109375" style="3" customWidth="1"/>
    <col min="15" max="15" width="13.140625" style="3" customWidth="1"/>
    <col min="16" max="16" width="14.5703125" style="3" customWidth="1"/>
    <col min="17" max="17" width="18.85546875" style="3" customWidth="1"/>
    <col min="18" max="18" width="19.28515625" style="3" customWidth="1"/>
    <col min="19" max="19" width="18.140625" style="3" customWidth="1"/>
    <col min="20" max="20" width="12.85546875" style="3" customWidth="1"/>
    <col min="21" max="16384" width="11.42578125" style="3"/>
  </cols>
  <sheetData>
    <row r="1" spans="1:51" s="8" customFormat="1" ht="24.95" customHeight="1" x14ac:dyDescent="0.25">
      <c r="B1" s="214" t="s">
        <v>26</v>
      </c>
      <c r="C1" s="214"/>
      <c r="D1" s="214"/>
      <c r="E1" s="214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8" t="s">
        <v>114</v>
      </c>
    </row>
    <row r="2" spans="1:51" x14ac:dyDescent="0.25">
      <c r="A2" s="260" t="s">
        <v>27</v>
      </c>
      <c r="B2" s="5" t="s">
        <v>2</v>
      </c>
      <c r="C2" s="5" t="s">
        <v>30</v>
      </c>
      <c r="D2" s="5" t="s">
        <v>0</v>
      </c>
      <c r="E2" s="5" t="s">
        <v>1</v>
      </c>
      <c r="F2" s="5" t="s">
        <v>29</v>
      </c>
      <c r="G2" s="5" t="s">
        <v>28</v>
      </c>
      <c r="H2" s="20" t="s">
        <v>128</v>
      </c>
      <c r="I2" s="5" t="s">
        <v>4</v>
      </c>
      <c r="J2" s="5" t="s">
        <v>106</v>
      </c>
      <c r="K2" s="5" t="s">
        <v>107</v>
      </c>
      <c r="L2" s="5" t="s">
        <v>20</v>
      </c>
      <c r="M2" s="5" t="s">
        <v>23</v>
      </c>
      <c r="N2" s="5" t="s">
        <v>24</v>
      </c>
      <c r="O2" s="5" t="s">
        <v>16</v>
      </c>
      <c r="P2" s="5" t="s">
        <v>5</v>
      </c>
      <c r="Q2" s="5" t="s">
        <v>6</v>
      </c>
      <c r="R2" s="5" t="s">
        <v>7</v>
      </c>
      <c r="S2" s="5" t="s">
        <v>8</v>
      </c>
      <c r="T2" s="20" t="s">
        <v>129</v>
      </c>
      <c r="U2" s="10" t="s">
        <v>123</v>
      </c>
      <c r="V2" s="10" t="s">
        <v>111</v>
      </c>
      <c r="W2" s="10" t="s">
        <v>112</v>
      </c>
      <c r="X2" s="10" t="s">
        <v>113</v>
      </c>
      <c r="Y2" s="10" t="s">
        <v>115</v>
      </c>
      <c r="Z2" s="10" t="s">
        <v>116</v>
      </c>
      <c r="AA2" s="10" t="s">
        <v>117</v>
      </c>
      <c r="AB2" s="10" t="s">
        <v>118</v>
      </c>
      <c r="AC2" s="10" t="s">
        <v>119</v>
      </c>
      <c r="AD2" s="10" t="s">
        <v>120</v>
      </c>
      <c r="AE2" s="10" t="s">
        <v>121</v>
      </c>
      <c r="AF2" s="10" t="s">
        <v>122</v>
      </c>
    </row>
    <row r="3" spans="1:51" x14ac:dyDescent="0.25">
      <c r="A3" s="208"/>
      <c r="B3" s="39"/>
      <c r="C3" s="57"/>
      <c r="D3" s="40"/>
      <c r="E3" s="41"/>
      <c r="F3" s="58"/>
      <c r="G3" s="6"/>
      <c r="H3" s="18"/>
      <c r="I3" s="2"/>
      <c r="J3" s="41"/>
      <c r="K3" s="41"/>
      <c r="L3" s="151"/>
      <c r="M3" s="15"/>
      <c r="N3" s="158"/>
      <c r="O3" s="157"/>
      <c r="P3" s="157"/>
      <c r="Q3" s="158"/>
      <c r="R3" s="157"/>
      <c r="S3" s="157"/>
      <c r="T3" s="158"/>
      <c r="U3" s="157"/>
      <c r="V3" s="34"/>
      <c r="W3" s="34"/>
      <c r="X3" s="34"/>
      <c r="Y3" s="34"/>
      <c r="Z3" s="34"/>
      <c r="AA3" s="34"/>
      <c r="AB3" s="34"/>
      <c r="AC3" s="34"/>
      <c r="AD3" s="34"/>
      <c r="AE3" s="157"/>
      <c r="AF3" s="162"/>
    </row>
    <row r="5" spans="1:51" ht="21" x14ac:dyDescent="0.25">
      <c r="K5" s="215"/>
      <c r="L5" s="215"/>
      <c r="M5" s="215"/>
      <c r="N5" s="215"/>
      <c r="O5" s="9"/>
      <c r="U5" s="11"/>
      <c r="V5" s="11"/>
      <c r="W5" s="11"/>
      <c r="X5" s="11"/>
      <c r="Y5" s="21"/>
      <c r="Z5" s="22"/>
      <c r="AA5" s="23"/>
      <c r="AB5" s="13"/>
      <c r="AC5" s="13"/>
      <c r="AD5" s="13"/>
      <c r="AE5" s="24"/>
      <c r="AF5" s="25"/>
      <c r="AG5" s="26"/>
      <c r="AH5" s="25"/>
      <c r="AI5" s="25"/>
      <c r="AJ5" s="26"/>
      <c r="AK5" s="25"/>
      <c r="AL5" s="25"/>
      <c r="AM5" s="26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</row>
    <row r="6" spans="1:51" x14ac:dyDescent="0.25">
      <c r="K6" s="11"/>
      <c r="L6" s="11"/>
      <c r="M6" s="11"/>
      <c r="N6" s="11"/>
      <c r="U6" s="59"/>
      <c r="V6" s="59"/>
      <c r="W6" s="59"/>
      <c r="X6" s="25"/>
    </row>
    <row r="7" spans="1:51" x14ac:dyDescent="0.25">
      <c r="K7" s="12"/>
      <c r="L7" s="12"/>
      <c r="M7" s="12"/>
      <c r="N7" s="13"/>
    </row>
  </sheetData>
  <sheetProtection selectLockedCells="1"/>
  <mergeCells count="2">
    <mergeCell ref="B1:E1"/>
    <mergeCell ref="K5:N5"/>
  </mergeCells>
  <conditionalFormatting sqref="L3 Q3 N3">
    <cfRule type="cellIs" dxfId="8" priority="1" operator="equal">
      <formula>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1DB3-6712-45D3-95C4-15713B5A470E}">
  <sheetPr codeName="Hoja3"/>
  <dimension ref="A1:L53"/>
  <sheetViews>
    <sheetView showGridLines="0" showRuler="0" view="pageLayout" zoomScale="115" zoomScaleNormal="100" zoomScalePageLayoutView="115" workbookViewId="0">
      <selection activeCell="F22" sqref="F22:H24"/>
    </sheetView>
  </sheetViews>
  <sheetFormatPr baseColWidth="10" defaultColWidth="11.42578125" defaultRowHeight="15" x14ac:dyDescent="0.25"/>
  <cols>
    <col min="1" max="1" width="0.85546875" style="1" customWidth="1"/>
    <col min="2" max="2" width="2.85546875" style="1" customWidth="1"/>
    <col min="3" max="3" width="14" style="1" customWidth="1"/>
    <col min="4" max="4" width="4.28515625" style="1" customWidth="1"/>
    <col min="5" max="5" width="18.5703125" style="1" customWidth="1"/>
    <col min="6" max="6" width="8.5703125" style="1" customWidth="1"/>
    <col min="7" max="7" width="5.42578125" style="1" customWidth="1"/>
    <col min="8" max="8" width="16.28515625" style="1" customWidth="1"/>
    <col min="9" max="9" width="10" style="1" customWidth="1"/>
    <col min="10" max="10" width="5.42578125" style="1" customWidth="1"/>
    <col min="11" max="11" width="13.28515625" style="1" customWidth="1"/>
    <col min="12" max="12" width="1" style="1" customWidth="1"/>
    <col min="13" max="16384" width="11.42578125" style="1"/>
  </cols>
  <sheetData>
    <row r="1" spans="1:12" ht="6" customHeight="1" x14ac:dyDescent="0.25">
      <c r="A1" s="67"/>
      <c r="B1" s="68"/>
      <c r="C1" s="68"/>
      <c r="D1" s="68"/>
      <c r="E1" s="68"/>
      <c r="F1" s="68"/>
      <c r="G1" s="68"/>
      <c r="H1" s="68"/>
      <c r="I1" s="69"/>
      <c r="J1" s="69"/>
      <c r="K1" s="69"/>
      <c r="L1" s="70"/>
    </row>
    <row r="2" spans="1:12" ht="24" customHeight="1" x14ac:dyDescent="0.25">
      <c r="A2" s="71"/>
      <c r="B2" s="233" t="s">
        <v>346</v>
      </c>
      <c r="C2" s="233"/>
      <c r="D2" s="233"/>
      <c r="E2" s="233"/>
      <c r="F2" s="233"/>
      <c r="G2" s="233"/>
      <c r="H2" s="233"/>
      <c r="I2" s="72"/>
      <c r="J2" s="72"/>
      <c r="K2" s="72"/>
      <c r="L2" s="73"/>
    </row>
    <row r="3" spans="1:12" ht="15" customHeight="1" x14ac:dyDescent="0.25">
      <c r="A3" s="71"/>
      <c r="B3" s="244" t="s">
        <v>11</v>
      </c>
      <c r="C3" s="244"/>
      <c r="D3" s="244"/>
      <c r="E3" s="244"/>
      <c r="F3" s="74"/>
      <c r="G3" s="74"/>
      <c r="H3" s="75" t="s">
        <v>15</v>
      </c>
      <c r="I3" s="72"/>
      <c r="J3" s="72"/>
      <c r="K3" s="72"/>
      <c r="L3" s="73"/>
    </row>
    <row r="4" spans="1:12" ht="15" customHeight="1" x14ac:dyDescent="0.25">
      <c r="A4" s="71"/>
      <c r="B4" s="76" t="s">
        <v>125</v>
      </c>
      <c r="C4" s="77"/>
      <c r="D4" s="77" t="s">
        <v>18</v>
      </c>
      <c r="E4" s="77"/>
      <c r="F4" s="72"/>
      <c r="G4" s="72"/>
      <c r="H4" s="78">
        <f>'PEG. USUARIO A FACTURAR'!G3</f>
        <v>0</v>
      </c>
      <c r="I4" s="72"/>
      <c r="J4" s="72"/>
      <c r="K4" s="72"/>
      <c r="L4" s="73"/>
    </row>
    <row r="5" spans="1:12" x14ac:dyDescent="0.25">
      <c r="A5" s="71"/>
      <c r="B5" s="74"/>
      <c r="C5" s="87" t="s">
        <v>485</v>
      </c>
      <c r="D5" s="259">
        <f>'PEG. USUARIO A FACTURAR'!A3</f>
        <v>0</v>
      </c>
      <c r="E5" s="74"/>
      <c r="F5" s="74"/>
      <c r="G5" s="74"/>
      <c r="H5" s="79"/>
      <c r="I5" s="72"/>
      <c r="J5" s="72"/>
      <c r="K5" s="72"/>
      <c r="L5" s="73"/>
    </row>
    <row r="6" spans="1:12" s="19" customFormat="1" ht="12.75" x14ac:dyDescent="0.2">
      <c r="A6" s="80"/>
      <c r="B6" s="235"/>
      <c r="C6" s="235"/>
      <c r="D6" s="235"/>
      <c r="E6" s="235"/>
      <c r="F6" s="81" t="s">
        <v>9</v>
      </c>
      <c r="G6" s="236">
        <f>'PEG. USUARIO A FACTURAR'!B3</f>
        <v>0</v>
      </c>
      <c r="H6" s="236"/>
      <c r="I6" s="81" t="s">
        <v>21</v>
      </c>
      <c r="J6" s="237">
        <f>'PEG. USUARIO A FACTURAR'!E3</f>
        <v>0</v>
      </c>
      <c r="K6" s="237"/>
      <c r="L6" s="82"/>
    </row>
    <row r="7" spans="1:12" s="19" customFormat="1" ht="12.75" x14ac:dyDescent="0.2">
      <c r="A7" s="80"/>
      <c r="B7" s="235"/>
      <c r="C7" s="235"/>
      <c r="D7" s="235"/>
      <c r="E7" s="235"/>
      <c r="F7" s="81"/>
      <c r="G7" s="83"/>
      <c r="H7" s="83"/>
      <c r="I7" s="81"/>
      <c r="J7" s="84"/>
      <c r="K7" s="84"/>
      <c r="L7" s="82"/>
    </row>
    <row r="8" spans="1:12" s="19" customFormat="1" ht="12.75" x14ac:dyDescent="0.2">
      <c r="A8" s="80"/>
      <c r="B8" s="235"/>
      <c r="C8" s="235"/>
      <c r="D8" s="235"/>
      <c r="E8" s="235"/>
      <c r="F8" s="250" t="s">
        <v>126</v>
      </c>
      <c r="G8" s="250"/>
      <c r="H8" s="85">
        <f>'PEG. USUARIO A FACTURAR'!C3</f>
        <v>0</v>
      </c>
      <c r="I8" s="255" t="s">
        <v>341</v>
      </c>
      <c r="J8" s="255"/>
      <c r="K8" s="86">
        <f>'PEG. USUARIO A FACTURAR'!H3</f>
        <v>0</v>
      </c>
      <c r="L8" s="82"/>
    </row>
    <row r="9" spans="1:12" s="19" customFormat="1" ht="12.75" x14ac:dyDescent="0.2">
      <c r="A9" s="80"/>
      <c r="B9" s="235"/>
      <c r="C9" s="235"/>
      <c r="D9" s="235"/>
      <c r="E9" s="235"/>
      <c r="F9" s="87"/>
      <c r="G9" s="87"/>
      <c r="H9" s="88"/>
      <c r="I9" s="87"/>
      <c r="J9" s="87"/>
      <c r="K9" s="88"/>
      <c r="L9" s="82"/>
    </row>
    <row r="10" spans="1:12" s="19" customFormat="1" ht="12.75" x14ac:dyDescent="0.2">
      <c r="A10" s="80"/>
      <c r="B10" s="235"/>
      <c r="C10" s="235"/>
      <c r="D10" s="235"/>
      <c r="E10" s="235"/>
      <c r="F10" s="247" t="s">
        <v>10</v>
      </c>
      <c r="G10" s="247"/>
      <c r="H10" s="85">
        <f>'PEG. USUARIO A FACTURAR'!D3</f>
        <v>0</v>
      </c>
      <c r="I10" s="251" t="s">
        <v>3</v>
      </c>
      <c r="J10" s="251"/>
      <c r="K10" s="89">
        <f>'PEG. USUARIO A FACTURAR'!F3</f>
        <v>0</v>
      </c>
      <c r="L10" s="82"/>
    </row>
    <row r="11" spans="1:12" s="19" customFormat="1" ht="12.75" x14ac:dyDescent="0.2">
      <c r="A11" s="80"/>
      <c r="B11" s="235"/>
      <c r="C11" s="235"/>
      <c r="D11" s="235"/>
      <c r="E11" s="235"/>
      <c r="F11" s="90"/>
      <c r="G11" s="90"/>
      <c r="H11" s="88"/>
      <c r="I11" s="87"/>
      <c r="J11" s="87"/>
      <c r="K11" s="88"/>
      <c r="L11" s="82"/>
    </row>
    <row r="12" spans="1:12" s="19" customFormat="1" ht="12.75" x14ac:dyDescent="0.2">
      <c r="A12" s="80"/>
      <c r="B12" s="235"/>
      <c r="C12" s="235"/>
      <c r="D12" s="235"/>
      <c r="E12" s="235"/>
      <c r="F12" s="247" t="s">
        <v>12</v>
      </c>
      <c r="G12" s="247"/>
      <c r="H12" s="91">
        <f>'PEG. USUARIO A FACTURAR'!I3</f>
        <v>0</v>
      </c>
      <c r="I12" s="252" t="s">
        <v>19</v>
      </c>
      <c r="J12" s="252"/>
      <c r="K12" s="92">
        <f>'PEG. USUARIO A FACTURAR'!L3</f>
        <v>0</v>
      </c>
      <c r="L12" s="82"/>
    </row>
    <row r="13" spans="1:12" s="19" customFormat="1" ht="12.75" x14ac:dyDescent="0.2">
      <c r="A13" s="80"/>
      <c r="B13" s="235"/>
      <c r="C13" s="235"/>
      <c r="D13" s="235"/>
      <c r="E13" s="235"/>
      <c r="F13" s="81"/>
      <c r="G13" s="81"/>
      <c r="H13" s="93"/>
      <c r="I13" s="94"/>
      <c r="J13" s="94"/>
      <c r="K13" s="93"/>
      <c r="L13" s="82"/>
    </row>
    <row r="14" spans="1:12" s="19" customFormat="1" ht="12.75" x14ac:dyDescent="0.2">
      <c r="A14" s="80"/>
      <c r="B14" s="235"/>
      <c r="C14" s="235"/>
      <c r="D14" s="235"/>
      <c r="E14" s="235"/>
      <c r="F14" s="248" t="s">
        <v>108</v>
      </c>
      <c r="G14" s="248"/>
      <c r="H14" s="91">
        <f>'PEG. USUARIO A FACTURAR'!J3</f>
        <v>0</v>
      </c>
      <c r="I14" s="252" t="s">
        <v>107</v>
      </c>
      <c r="J14" s="252"/>
      <c r="K14" s="92">
        <f>'PEG. USUARIO A FACTURAR'!K3</f>
        <v>0</v>
      </c>
      <c r="L14" s="82"/>
    </row>
    <row r="15" spans="1:12" s="19" customFormat="1" ht="12.75" x14ac:dyDescent="0.2">
      <c r="A15" s="80"/>
      <c r="B15" s="235"/>
      <c r="C15" s="235"/>
      <c r="D15" s="235"/>
      <c r="E15" s="235"/>
      <c r="F15" s="90"/>
      <c r="G15" s="90"/>
      <c r="H15" s="88"/>
      <c r="I15" s="87"/>
      <c r="J15" s="87"/>
      <c r="K15" s="88"/>
      <c r="L15" s="82"/>
    </row>
    <row r="16" spans="1:12" s="19" customFormat="1" ht="12.75" x14ac:dyDescent="0.2">
      <c r="A16" s="80"/>
      <c r="B16" s="235"/>
      <c r="C16" s="235"/>
      <c r="D16" s="235"/>
      <c r="E16" s="235"/>
      <c r="F16" s="249" t="s">
        <v>22</v>
      </c>
      <c r="G16" s="249"/>
      <c r="H16" s="95">
        <f>'PEG. USUARIO A FACTURAR'!M3</f>
        <v>0</v>
      </c>
      <c r="I16" s="251" t="s">
        <v>110</v>
      </c>
      <c r="J16" s="251"/>
      <c r="K16" s="89">
        <f>'PEG. USUARIO A FACTURAR'!N3</f>
        <v>0</v>
      </c>
      <c r="L16" s="82"/>
    </row>
    <row r="17" spans="1:12" s="19" customFormat="1" ht="12.75" x14ac:dyDescent="0.2">
      <c r="A17" s="80"/>
      <c r="B17" s="235"/>
      <c r="C17" s="235"/>
      <c r="D17" s="235"/>
      <c r="E17" s="235"/>
      <c r="F17" s="90"/>
      <c r="G17" s="90"/>
      <c r="H17" s="88"/>
      <c r="I17" s="87"/>
      <c r="J17" s="87"/>
      <c r="K17" s="88"/>
      <c r="L17" s="82"/>
    </row>
    <row r="18" spans="1:12" s="19" customFormat="1" ht="12.75" x14ac:dyDescent="0.2">
      <c r="A18" s="80"/>
      <c r="B18" s="235"/>
      <c r="C18" s="235"/>
      <c r="D18" s="235"/>
      <c r="E18" s="235"/>
      <c r="F18" s="247" t="s">
        <v>340</v>
      </c>
      <c r="G18" s="247"/>
      <c r="H18" s="95">
        <f>'PEG. USUARIO A FACTURAR'!P3</f>
        <v>0</v>
      </c>
      <c r="I18" s="256" t="s">
        <v>17</v>
      </c>
      <c r="J18" s="256"/>
      <c r="K18" s="96">
        <f>'PEG. USUARIO A FACTURAR'!O3</f>
        <v>0</v>
      </c>
      <c r="L18" s="82"/>
    </row>
    <row r="19" spans="1:12" s="19" customFormat="1" ht="12.75" x14ac:dyDescent="0.2">
      <c r="A19" s="80"/>
      <c r="B19" s="235"/>
      <c r="C19" s="235"/>
      <c r="D19" s="235"/>
      <c r="E19" s="235"/>
      <c r="F19" s="81"/>
      <c r="G19" s="81"/>
      <c r="H19" s="97"/>
      <c r="I19" s="98"/>
      <c r="J19" s="98"/>
      <c r="K19" s="88"/>
      <c r="L19" s="82"/>
    </row>
    <row r="20" spans="1:12" s="19" customFormat="1" ht="12.75" x14ac:dyDescent="0.2">
      <c r="A20" s="80"/>
      <c r="B20" s="235"/>
      <c r="C20" s="235"/>
      <c r="D20" s="235"/>
      <c r="E20" s="235"/>
      <c r="F20" s="248" t="s">
        <v>14</v>
      </c>
      <c r="G20" s="248"/>
      <c r="H20" s="99"/>
      <c r="I20" s="248" t="s">
        <v>13</v>
      </c>
      <c r="J20" s="248"/>
      <c r="K20" s="95">
        <f>(K16+H18-K18)</f>
        <v>0</v>
      </c>
      <c r="L20" s="82"/>
    </row>
    <row r="21" spans="1:12" s="19" customFormat="1" ht="15" customHeight="1" x14ac:dyDescent="0.2">
      <c r="A21" s="80"/>
      <c r="B21" s="246" t="s">
        <v>368</v>
      </c>
      <c r="C21" s="246"/>
      <c r="D21" s="246"/>
      <c r="E21" s="246"/>
      <c r="F21" s="87"/>
      <c r="G21" s="87"/>
      <c r="H21" s="87"/>
      <c r="I21" s="98"/>
      <c r="J21" s="98"/>
      <c r="K21" s="88"/>
      <c r="L21" s="82"/>
    </row>
    <row r="22" spans="1:12" ht="22.5" customHeight="1" x14ac:dyDescent="0.25">
      <c r="A22" s="71"/>
      <c r="B22" s="246"/>
      <c r="C22" s="246"/>
      <c r="D22" s="246"/>
      <c r="E22" s="246"/>
      <c r="F22" s="220"/>
      <c r="G22" s="221"/>
      <c r="H22" s="222"/>
      <c r="I22" s="81" t="s">
        <v>358</v>
      </c>
      <c r="J22" s="229"/>
      <c r="K22" s="230"/>
      <c r="L22" s="100"/>
    </row>
    <row r="23" spans="1:12" ht="14.25" customHeight="1" x14ac:dyDescent="0.25">
      <c r="A23" s="71"/>
      <c r="B23" s="246"/>
      <c r="C23" s="246"/>
      <c r="D23" s="246"/>
      <c r="E23" s="246"/>
      <c r="F23" s="223"/>
      <c r="G23" s="224"/>
      <c r="H23" s="225"/>
      <c r="I23" s="101" t="s">
        <v>129</v>
      </c>
      <c r="J23" s="231"/>
      <c r="K23" s="232"/>
      <c r="L23" s="100"/>
    </row>
    <row r="24" spans="1:12" ht="14.25" customHeight="1" x14ac:dyDescent="0.25">
      <c r="A24" s="71"/>
      <c r="B24" s="246"/>
      <c r="C24" s="246"/>
      <c r="D24" s="246"/>
      <c r="E24" s="246"/>
      <c r="F24" s="226"/>
      <c r="G24" s="227"/>
      <c r="H24" s="228"/>
      <c r="I24" s="102" t="s">
        <v>127</v>
      </c>
      <c r="J24" s="253"/>
      <c r="K24" s="254"/>
      <c r="L24" s="100"/>
    </row>
    <row r="25" spans="1:12" ht="14.25" customHeight="1" thickBot="1" x14ac:dyDescent="0.3">
      <c r="A25" s="103"/>
      <c r="B25" s="104"/>
      <c r="C25" s="104"/>
      <c r="D25" s="104"/>
      <c r="E25" s="104"/>
      <c r="F25" s="245" t="s">
        <v>25</v>
      </c>
      <c r="G25" s="245"/>
      <c r="H25" s="245"/>
      <c r="I25" s="105"/>
      <c r="J25" s="105"/>
      <c r="K25" s="104"/>
      <c r="L25" s="106"/>
    </row>
    <row r="26" spans="1:12" ht="15.75" thickBot="1" x14ac:dyDescent="0.3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</row>
    <row r="27" spans="1:12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</row>
    <row r="28" spans="1:12" ht="14.1" customHeight="1" thickBot="1" x14ac:dyDescent="0.3">
      <c r="A28" s="109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</row>
    <row r="29" spans="1:12" ht="7.5" customHeight="1" x14ac:dyDescent="0.25">
      <c r="A29" s="110"/>
      <c r="B29" s="111"/>
      <c r="C29" s="111"/>
      <c r="D29" s="111"/>
      <c r="E29" s="111"/>
      <c r="F29" s="111"/>
      <c r="G29" s="111"/>
      <c r="H29" s="111"/>
      <c r="I29" s="112"/>
      <c r="J29" s="112"/>
      <c r="K29" s="112"/>
      <c r="L29" s="113"/>
    </row>
    <row r="30" spans="1:12" ht="24" customHeight="1" x14ac:dyDescent="0.25">
      <c r="A30" s="114"/>
      <c r="B30" s="233" t="s">
        <v>346</v>
      </c>
      <c r="C30" s="233"/>
      <c r="D30" s="233"/>
      <c r="E30" s="233"/>
      <c r="F30" s="233"/>
      <c r="G30" s="233"/>
      <c r="H30" s="233"/>
      <c r="I30" s="115"/>
      <c r="J30" s="115"/>
      <c r="K30" s="115"/>
      <c r="L30" s="116"/>
    </row>
    <row r="31" spans="1:12" x14ac:dyDescent="0.25">
      <c r="A31" s="114"/>
      <c r="B31" s="234" t="s">
        <v>11</v>
      </c>
      <c r="C31" s="234"/>
      <c r="D31" s="234"/>
      <c r="E31" s="234"/>
      <c r="F31" s="109"/>
      <c r="G31" s="109"/>
      <c r="H31" s="117" t="s">
        <v>15</v>
      </c>
      <c r="I31" s="115"/>
      <c r="J31" s="115"/>
      <c r="K31" s="115"/>
      <c r="L31" s="116"/>
    </row>
    <row r="32" spans="1:12" x14ac:dyDescent="0.25">
      <c r="A32" s="114"/>
      <c r="B32" s="76" t="s">
        <v>125</v>
      </c>
      <c r="C32" s="77">
        <f>$C$4</f>
        <v>0</v>
      </c>
      <c r="D32" s="77" t="s">
        <v>18</v>
      </c>
      <c r="E32" s="77">
        <f>$E$4</f>
        <v>0</v>
      </c>
      <c r="F32" s="115"/>
      <c r="G32" s="115"/>
      <c r="H32" s="118">
        <f>'PEG. USUARIO A FACTURAR'!G3</f>
        <v>0</v>
      </c>
      <c r="I32" s="115"/>
      <c r="J32" s="115"/>
      <c r="K32" s="115"/>
      <c r="L32" s="116"/>
    </row>
    <row r="33" spans="1:12" x14ac:dyDescent="0.25">
      <c r="A33" s="114"/>
      <c r="B33" s="109"/>
      <c r="C33" s="125" t="s">
        <v>486</v>
      </c>
      <c r="D33" s="119">
        <f>D5</f>
        <v>0</v>
      </c>
      <c r="E33" s="109"/>
      <c r="F33" s="109"/>
      <c r="G33" s="109"/>
      <c r="H33" s="119"/>
      <c r="I33" s="115"/>
      <c r="J33" s="115"/>
      <c r="K33" s="115"/>
      <c r="L33" s="116"/>
    </row>
    <row r="34" spans="1:12" ht="12.75" customHeight="1" x14ac:dyDescent="0.25">
      <c r="A34" s="120"/>
      <c r="B34" s="235"/>
      <c r="C34" s="235"/>
      <c r="D34" s="235"/>
      <c r="E34" s="235"/>
      <c r="F34" s="121" t="s">
        <v>9</v>
      </c>
      <c r="G34" s="236">
        <f>'PEG. USUARIO A FACTURAR'!B3</f>
        <v>0</v>
      </c>
      <c r="H34" s="236"/>
      <c r="I34" s="121" t="s">
        <v>21</v>
      </c>
      <c r="J34" s="237">
        <f>'PEG. USUARIO A FACTURAR'!E3</f>
        <v>0</v>
      </c>
      <c r="K34" s="237"/>
      <c r="L34" s="122"/>
    </row>
    <row r="35" spans="1:12" ht="12.75" customHeight="1" x14ac:dyDescent="0.25">
      <c r="A35" s="120"/>
      <c r="B35" s="235"/>
      <c r="C35" s="235"/>
      <c r="D35" s="235"/>
      <c r="E35" s="235"/>
      <c r="F35" s="121"/>
      <c r="G35" s="85"/>
      <c r="H35" s="85"/>
      <c r="I35" s="121"/>
      <c r="J35" s="123"/>
      <c r="K35" s="123"/>
      <c r="L35" s="122"/>
    </row>
    <row r="36" spans="1:12" ht="12.75" customHeight="1" x14ac:dyDescent="0.25">
      <c r="A36" s="120"/>
      <c r="B36" s="235"/>
      <c r="C36" s="235"/>
      <c r="D36" s="235"/>
      <c r="E36" s="235"/>
      <c r="F36" s="238" t="s">
        <v>126</v>
      </c>
      <c r="G36" s="238"/>
      <c r="H36" s="85">
        <f>'PEG. USUARIO A FACTURAR'!C3</f>
        <v>0</v>
      </c>
      <c r="I36" s="239" t="s">
        <v>341</v>
      </c>
      <c r="J36" s="239"/>
      <c r="K36" s="124">
        <f>'PEG. USUARIO A FACTURAR'!H3</f>
        <v>0</v>
      </c>
      <c r="L36" s="122"/>
    </row>
    <row r="37" spans="1:12" ht="12.75" customHeight="1" x14ac:dyDescent="0.25">
      <c r="A37" s="120"/>
      <c r="B37" s="235"/>
      <c r="C37" s="235"/>
      <c r="D37" s="235"/>
      <c r="E37" s="235"/>
      <c r="F37" s="125"/>
      <c r="G37" s="125"/>
      <c r="H37" s="126"/>
      <c r="I37" s="125"/>
      <c r="J37" s="125"/>
      <c r="K37" s="126"/>
      <c r="L37" s="122"/>
    </row>
    <row r="38" spans="1:12" ht="12.75" customHeight="1" x14ac:dyDescent="0.25">
      <c r="A38" s="120"/>
      <c r="B38" s="235"/>
      <c r="C38" s="235"/>
      <c r="D38" s="235"/>
      <c r="E38" s="235"/>
      <c r="F38" s="240" t="s">
        <v>10</v>
      </c>
      <c r="G38" s="240"/>
      <c r="H38" s="85">
        <f>'PEG. USUARIO A FACTURAR'!D3</f>
        <v>0</v>
      </c>
      <c r="I38" s="241" t="s">
        <v>3</v>
      </c>
      <c r="J38" s="241"/>
      <c r="K38" s="96">
        <f>'PEG. USUARIO A FACTURAR'!F3</f>
        <v>0</v>
      </c>
      <c r="L38" s="122"/>
    </row>
    <row r="39" spans="1:12" ht="12.75" customHeight="1" x14ac:dyDescent="0.25">
      <c r="A39" s="120"/>
      <c r="B39" s="235"/>
      <c r="C39" s="235"/>
      <c r="D39" s="235"/>
      <c r="E39" s="235"/>
      <c r="F39" s="127"/>
      <c r="G39" s="127"/>
      <c r="H39" s="126"/>
      <c r="I39" s="125"/>
      <c r="J39" s="125"/>
      <c r="K39" s="126"/>
      <c r="L39" s="122"/>
    </row>
    <row r="40" spans="1:12" ht="12.75" customHeight="1" x14ac:dyDescent="0.25">
      <c r="A40" s="120"/>
      <c r="B40" s="235"/>
      <c r="C40" s="235"/>
      <c r="D40" s="235"/>
      <c r="E40" s="235"/>
      <c r="F40" s="240" t="s">
        <v>12</v>
      </c>
      <c r="G40" s="240"/>
      <c r="H40" s="92">
        <f>'PEG. USUARIO A FACTURAR'!I3</f>
        <v>0</v>
      </c>
      <c r="I40" s="242" t="s">
        <v>19</v>
      </c>
      <c r="J40" s="242"/>
      <c r="K40" s="92">
        <f>'PEG. USUARIO A FACTURAR'!L3</f>
        <v>0</v>
      </c>
      <c r="L40" s="122"/>
    </row>
    <row r="41" spans="1:12" ht="12.75" customHeight="1" x14ac:dyDescent="0.25">
      <c r="A41" s="120"/>
      <c r="B41" s="235"/>
      <c r="C41" s="235"/>
      <c r="D41" s="235"/>
      <c r="E41" s="235"/>
      <c r="F41" s="121"/>
      <c r="G41" s="121"/>
      <c r="H41" s="92"/>
      <c r="I41" s="128"/>
      <c r="J41" s="128"/>
      <c r="K41" s="92"/>
      <c r="L41" s="122"/>
    </row>
    <row r="42" spans="1:12" ht="12.75" customHeight="1" x14ac:dyDescent="0.25">
      <c r="A42" s="120"/>
      <c r="B42" s="235"/>
      <c r="C42" s="235"/>
      <c r="D42" s="235"/>
      <c r="E42" s="235"/>
      <c r="F42" s="218" t="s">
        <v>108</v>
      </c>
      <c r="G42" s="218"/>
      <c r="H42" s="92">
        <f>'PEG. USUARIO A FACTURAR'!J3</f>
        <v>0</v>
      </c>
      <c r="I42" s="242" t="s">
        <v>107</v>
      </c>
      <c r="J42" s="242"/>
      <c r="K42" s="92">
        <f>'PEG. USUARIO A FACTURAR'!K3</f>
        <v>0</v>
      </c>
      <c r="L42" s="122"/>
    </row>
    <row r="43" spans="1:12" ht="12.75" customHeight="1" x14ac:dyDescent="0.25">
      <c r="A43" s="120"/>
      <c r="B43" s="235"/>
      <c r="C43" s="235"/>
      <c r="D43" s="235"/>
      <c r="E43" s="235"/>
      <c r="F43" s="127"/>
      <c r="G43" s="127"/>
      <c r="H43" s="126"/>
      <c r="I43" s="125"/>
      <c r="J43" s="125"/>
      <c r="K43" s="126"/>
      <c r="L43" s="122"/>
    </row>
    <row r="44" spans="1:12" ht="12.75" customHeight="1" x14ac:dyDescent="0.25">
      <c r="A44" s="120"/>
      <c r="B44" s="235"/>
      <c r="C44" s="235"/>
      <c r="D44" s="235"/>
      <c r="E44" s="235"/>
      <c r="F44" s="243" t="s">
        <v>22</v>
      </c>
      <c r="G44" s="243"/>
      <c r="H44" s="95">
        <f>'PEG. USUARIO A FACTURAR'!M3</f>
        <v>0</v>
      </c>
      <c r="I44" s="241" t="s">
        <v>110</v>
      </c>
      <c r="J44" s="241"/>
      <c r="K44" s="96">
        <f>'PEG. USUARIO A FACTURAR'!N3</f>
        <v>0</v>
      </c>
      <c r="L44" s="122"/>
    </row>
    <row r="45" spans="1:12" ht="12.75" customHeight="1" x14ac:dyDescent="0.25">
      <c r="A45" s="120"/>
      <c r="B45" s="235"/>
      <c r="C45" s="235"/>
      <c r="D45" s="235"/>
      <c r="E45" s="235"/>
      <c r="F45" s="127"/>
      <c r="G45" s="127"/>
      <c r="H45" s="126"/>
      <c r="I45" s="125"/>
      <c r="J45" s="125"/>
      <c r="K45" s="126"/>
      <c r="L45" s="122"/>
    </row>
    <row r="46" spans="1:12" ht="12.75" customHeight="1" x14ac:dyDescent="0.25">
      <c r="A46" s="120"/>
      <c r="B46" s="235"/>
      <c r="C46" s="235"/>
      <c r="D46" s="235"/>
      <c r="E46" s="235"/>
      <c r="F46" s="240" t="s">
        <v>340</v>
      </c>
      <c r="G46" s="240"/>
      <c r="H46" s="95">
        <f>'PEG. USUARIO A FACTURAR'!P3</f>
        <v>0</v>
      </c>
      <c r="I46" s="217" t="s">
        <v>17</v>
      </c>
      <c r="J46" s="217"/>
      <c r="K46" s="96">
        <f>'PEG. USUARIO A FACTURAR'!O3</f>
        <v>0</v>
      </c>
      <c r="L46" s="122"/>
    </row>
    <row r="47" spans="1:12" ht="12.75" customHeight="1" x14ac:dyDescent="0.25">
      <c r="A47" s="120"/>
      <c r="B47" s="235"/>
      <c r="C47" s="235"/>
      <c r="D47" s="235"/>
      <c r="E47" s="235"/>
      <c r="F47" s="121"/>
      <c r="G47" s="121"/>
      <c r="H47" s="99"/>
      <c r="I47" s="129"/>
      <c r="J47" s="129"/>
      <c r="K47" s="126"/>
      <c r="L47" s="122"/>
    </row>
    <row r="48" spans="1:12" ht="12.75" customHeight="1" x14ac:dyDescent="0.25">
      <c r="A48" s="120"/>
      <c r="B48" s="235"/>
      <c r="C48" s="235"/>
      <c r="D48" s="235"/>
      <c r="E48" s="235"/>
      <c r="F48" s="218" t="s">
        <v>14</v>
      </c>
      <c r="G48" s="218"/>
      <c r="H48" s="99"/>
      <c r="I48" s="218" t="s">
        <v>13</v>
      </c>
      <c r="J48" s="218"/>
      <c r="K48" s="95">
        <f>(K44+H46-K46)</f>
        <v>0</v>
      </c>
      <c r="L48" s="122"/>
    </row>
    <row r="49" spans="1:12" ht="15" customHeight="1" x14ac:dyDescent="0.25">
      <c r="A49" s="120"/>
      <c r="B49" s="219" t="str">
        <f>$B$21</f>
        <v>Paga a tiempo tu factura y no te expongas al cobro por reconexión.                                                                            Fecha de corte: 20 de agosto del 2025.</v>
      </c>
      <c r="C49" s="219"/>
      <c r="D49" s="219"/>
      <c r="E49" s="219"/>
      <c r="F49" s="125"/>
      <c r="G49" s="125"/>
      <c r="H49" s="125"/>
      <c r="I49" s="129"/>
      <c r="J49" s="129"/>
      <c r="K49" s="126"/>
      <c r="L49" s="122"/>
    </row>
    <row r="50" spans="1:12" ht="22.35" customHeight="1" x14ac:dyDescent="0.25">
      <c r="A50" s="114"/>
      <c r="B50" s="219"/>
      <c r="C50" s="219"/>
      <c r="D50" s="219"/>
      <c r="E50" s="219"/>
      <c r="F50" s="220"/>
      <c r="G50" s="221"/>
      <c r="H50" s="222"/>
      <c r="I50" s="121" t="s">
        <v>109</v>
      </c>
      <c r="J50" s="229"/>
      <c r="K50" s="230"/>
      <c r="L50" s="130"/>
    </row>
    <row r="51" spans="1:12" ht="14.1" customHeight="1" x14ac:dyDescent="0.25">
      <c r="A51" s="114"/>
      <c r="B51" s="219"/>
      <c r="C51" s="219"/>
      <c r="D51" s="219"/>
      <c r="E51" s="219"/>
      <c r="F51" s="223"/>
      <c r="G51" s="224"/>
      <c r="H51" s="225"/>
      <c r="I51" s="131" t="s">
        <v>129</v>
      </c>
      <c r="J51" s="231"/>
      <c r="K51" s="232"/>
      <c r="L51" s="130"/>
    </row>
    <row r="52" spans="1:12" ht="14.1" customHeight="1" x14ac:dyDescent="0.25">
      <c r="A52" s="114"/>
      <c r="B52" s="219"/>
      <c r="C52" s="219"/>
      <c r="D52" s="219"/>
      <c r="E52" s="219"/>
      <c r="F52" s="226"/>
      <c r="G52" s="227"/>
      <c r="H52" s="228"/>
      <c r="I52" s="132" t="s">
        <v>127</v>
      </c>
      <c r="J52" s="231"/>
      <c r="K52" s="232"/>
      <c r="L52" s="130"/>
    </row>
    <row r="53" spans="1:12" ht="14.1" customHeight="1" thickBot="1" x14ac:dyDescent="0.3">
      <c r="A53" s="133"/>
      <c r="B53" s="134"/>
      <c r="C53" s="134"/>
      <c r="D53" s="134"/>
      <c r="E53" s="134"/>
      <c r="F53" s="216" t="s">
        <v>25</v>
      </c>
      <c r="G53" s="216"/>
      <c r="H53" s="216"/>
      <c r="I53" s="135"/>
      <c r="J53" s="135"/>
      <c r="K53" s="134"/>
      <c r="L53" s="136"/>
    </row>
  </sheetData>
  <mergeCells count="50">
    <mergeCell ref="J24:K24"/>
    <mergeCell ref="I8:J8"/>
    <mergeCell ref="J22:K22"/>
    <mergeCell ref="I18:J18"/>
    <mergeCell ref="I20:J20"/>
    <mergeCell ref="J23:K23"/>
    <mergeCell ref="J6:K6"/>
    <mergeCell ref="I10:J10"/>
    <mergeCell ref="I12:J12"/>
    <mergeCell ref="I14:J14"/>
    <mergeCell ref="I16:J16"/>
    <mergeCell ref="B2:H2"/>
    <mergeCell ref="B3:E3"/>
    <mergeCell ref="F25:H25"/>
    <mergeCell ref="F22:H24"/>
    <mergeCell ref="B21:E24"/>
    <mergeCell ref="G6:H6"/>
    <mergeCell ref="F10:G10"/>
    <mergeCell ref="F12:G12"/>
    <mergeCell ref="F14:G14"/>
    <mergeCell ref="F16:G16"/>
    <mergeCell ref="F18:G18"/>
    <mergeCell ref="F20:G20"/>
    <mergeCell ref="F8:G8"/>
    <mergeCell ref="B6:E20"/>
    <mergeCell ref="B30:H30"/>
    <mergeCell ref="B31:E31"/>
    <mergeCell ref="B34:E48"/>
    <mergeCell ref="G34:H34"/>
    <mergeCell ref="J34:K34"/>
    <mergeCell ref="F36:G36"/>
    <mergeCell ref="I36:J36"/>
    <mergeCell ref="F38:G38"/>
    <mergeCell ref="I38:J38"/>
    <mergeCell ref="F40:G40"/>
    <mergeCell ref="I40:J40"/>
    <mergeCell ref="F42:G42"/>
    <mergeCell ref="I42:J42"/>
    <mergeCell ref="F44:G44"/>
    <mergeCell ref="I44:J44"/>
    <mergeCell ref="F46:G46"/>
    <mergeCell ref="F53:H53"/>
    <mergeCell ref="I46:J46"/>
    <mergeCell ref="F48:G48"/>
    <mergeCell ref="I48:J48"/>
    <mergeCell ref="B49:E52"/>
    <mergeCell ref="F50:H52"/>
    <mergeCell ref="J50:K50"/>
    <mergeCell ref="J51:K51"/>
    <mergeCell ref="J52:K52"/>
  </mergeCells>
  <conditionalFormatting sqref="H4 G6:G7 H10 H12:H14 H16 H18 J6:J7 K10 K12:K14 K16 K18 K20">
    <cfRule type="cellIs" dxfId="7" priority="7" operator="equal">
      <formula>0</formula>
    </cfRule>
  </conditionalFormatting>
  <conditionalFormatting sqref="H8">
    <cfRule type="cellIs" dxfId="6" priority="6" operator="equal">
      <formula>0</formula>
    </cfRule>
  </conditionalFormatting>
  <conditionalFormatting sqref="H32 G34:G35 H38 H40:H42 H44 H46 J34:J35 K38 K40:K42 K44 K46 K48">
    <cfRule type="cellIs" dxfId="5" priority="5" operator="equal">
      <formula>0</formula>
    </cfRule>
  </conditionalFormatting>
  <conditionalFormatting sqref="H36">
    <cfRule type="cellIs" dxfId="4" priority="4" operator="equal">
      <formula>0</formula>
    </cfRule>
  </conditionalFormatting>
  <conditionalFormatting sqref="C32 E32">
    <cfRule type="cellIs" dxfId="3" priority="3" operator="equal">
      <formula>0</formula>
    </cfRule>
  </conditionalFormatting>
  <conditionalFormatting sqref="K8">
    <cfRule type="cellIs" dxfId="2" priority="2" operator="equal">
      <formula>0</formula>
    </cfRule>
  </conditionalFormatting>
  <conditionalFormatting sqref="K36">
    <cfRule type="cellIs" dxfId="1" priority="1" operator="equal">
      <formula>0</formula>
    </cfRule>
  </conditionalFormatting>
  <pageMargins left="0.27559055118110237" right="0.23622047244094491" top="0.55118110236220474" bottom="0.55118110236220474" header="0.31496062992125984" footer="0.31496062992125984"/>
  <pageSetup scale="95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CFBB-788A-4170-A969-E62F63317A03}">
  <sheetPr codeName="Hoja6"/>
  <dimension ref="A1:H115"/>
  <sheetViews>
    <sheetView view="pageLayout" zoomScaleNormal="100" workbookViewId="0">
      <selection activeCell="E2" sqref="E2"/>
    </sheetView>
  </sheetViews>
  <sheetFormatPr baseColWidth="10" defaultRowHeight="15" x14ac:dyDescent="0.25"/>
  <cols>
    <col min="1" max="1" width="4.5703125" customWidth="1"/>
    <col min="2" max="2" width="29.140625" customWidth="1"/>
    <col min="3" max="4" width="12.5703125" customWidth="1"/>
    <col min="5" max="8" width="18.7109375" customWidth="1"/>
  </cols>
  <sheetData>
    <row r="1" spans="1:8" x14ac:dyDescent="0.25">
      <c r="A1" s="37" t="s">
        <v>279</v>
      </c>
      <c r="B1" s="37" t="s">
        <v>280</v>
      </c>
      <c r="C1" s="37" t="s">
        <v>281</v>
      </c>
      <c r="D1" s="37" t="s">
        <v>0</v>
      </c>
      <c r="E1" s="38" t="s">
        <v>113</v>
      </c>
      <c r="F1" s="38" t="s">
        <v>115</v>
      </c>
      <c r="G1" s="38" t="s">
        <v>116</v>
      </c>
      <c r="H1" s="38" t="s">
        <v>117</v>
      </c>
    </row>
    <row r="2" spans="1:8" ht="18.600000000000001" customHeight="1" x14ac:dyDescent="0.25">
      <c r="A2" s="37">
        <v>1</v>
      </c>
      <c r="B2" s="27" t="s">
        <v>130</v>
      </c>
      <c r="C2" s="28">
        <v>49658251</v>
      </c>
      <c r="D2" s="6" t="s">
        <v>157</v>
      </c>
      <c r="E2" s="2"/>
      <c r="F2" s="2"/>
      <c r="G2" s="2"/>
      <c r="H2" s="2"/>
    </row>
    <row r="3" spans="1:8" ht="18.600000000000001" customHeight="1" x14ac:dyDescent="0.25">
      <c r="A3" s="37">
        <v>2</v>
      </c>
      <c r="B3" s="27" t="s">
        <v>36</v>
      </c>
      <c r="C3" s="28">
        <v>1002295311</v>
      </c>
      <c r="D3" s="33" t="s">
        <v>258</v>
      </c>
      <c r="E3" s="2"/>
      <c r="F3" s="2"/>
      <c r="G3" s="2"/>
      <c r="H3" s="2"/>
    </row>
    <row r="4" spans="1:8" ht="18.600000000000001" customHeight="1" x14ac:dyDescent="0.25">
      <c r="A4" s="37">
        <v>3</v>
      </c>
      <c r="B4" s="27" t="s">
        <v>37</v>
      </c>
      <c r="C4" s="28">
        <v>1050924260</v>
      </c>
      <c r="D4" s="6">
        <v>220106655</v>
      </c>
      <c r="E4" s="2"/>
      <c r="F4" s="2"/>
      <c r="G4" s="2"/>
      <c r="H4" s="2"/>
    </row>
    <row r="5" spans="1:8" ht="18.600000000000001" customHeight="1" x14ac:dyDescent="0.25">
      <c r="A5" s="37">
        <v>4</v>
      </c>
      <c r="B5" s="27" t="s">
        <v>34</v>
      </c>
      <c r="C5" s="28">
        <v>1050921430</v>
      </c>
      <c r="D5" s="6" t="s">
        <v>159</v>
      </c>
      <c r="E5" s="2"/>
      <c r="F5" s="2"/>
      <c r="G5" s="2"/>
      <c r="H5" s="2"/>
    </row>
    <row r="6" spans="1:8" ht="18.600000000000001" customHeight="1" x14ac:dyDescent="0.25">
      <c r="A6" s="37">
        <v>5</v>
      </c>
      <c r="B6" s="27" t="s">
        <v>131</v>
      </c>
      <c r="C6" s="29"/>
      <c r="D6" s="6" t="s">
        <v>160</v>
      </c>
      <c r="E6" s="2"/>
      <c r="F6" s="2"/>
      <c r="G6" s="2"/>
      <c r="H6" s="2"/>
    </row>
    <row r="7" spans="1:8" ht="18.600000000000001" customHeight="1" x14ac:dyDescent="0.25">
      <c r="A7" s="37">
        <v>6</v>
      </c>
      <c r="B7" s="27" t="s">
        <v>85</v>
      </c>
      <c r="C7" s="28">
        <v>32007324</v>
      </c>
      <c r="D7" s="6" t="s">
        <v>161</v>
      </c>
      <c r="E7" s="2"/>
      <c r="F7" s="2"/>
      <c r="G7" s="2"/>
      <c r="H7" s="2"/>
    </row>
    <row r="8" spans="1:8" ht="18.600000000000001" customHeight="1" x14ac:dyDescent="0.25">
      <c r="A8" s="37">
        <v>7</v>
      </c>
      <c r="B8" s="27" t="s">
        <v>282</v>
      </c>
      <c r="C8" s="28"/>
      <c r="D8" s="6" t="s">
        <v>261</v>
      </c>
      <c r="E8" s="2"/>
      <c r="F8" s="2"/>
      <c r="G8" s="2"/>
      <c r="H8" s="2"/>
    </row>
    <row r="9" spans="1:8" ht="18.600000000000001" customHeight="1" x14ac:dyDescent="0.25">
      <c r="A9" s="37">
        <v>8</v>
      </c>
      <c r="B9" s="27" t="s">
        <v>82</v>
      </c>
      <c r="C9" s="28">
        <v>1050924425</v>
      </c>
      <c r="D9" s="6" t="s">
        <v>158</v>
      </c>
      <c r="E9" s="2"/>
      <c r="F9" s="2"/>
      <c r="G9" s="2"/>
      <c r="H9" s="2"/>
    </row>
    <row r="10" spans="1:8" ht="18.600000000000001" customHeight="1" x14ac:dyDescent="0.25">
      <c r="A10" s="37">
        <v>9</v>
      </c>
      <c r="B10" s="27" t="s">
        <v>84</v>
      </c>
      <c r="C10" s="28">
        <v>37687223</v>
      </c>
      <c r="D10" s="6" t="s">
        <v>162</v>
      </c>
      <c r="E10" s="2"/>
      <c r="F10" s="2"/>
      <c r="G10" s="2"/>
      <c r="H10" s="2"/>
    </row>
    <row r="11" spans="1:8" ht="18.600000000000001" customHeight="1" x14ac:dyDescent="0.25">
      <c r="A11" s="37">
        <v>10</v>
      </c>
      <c r="B11" s="27" t="s">
        <v>83</v>
      </c>
      <c r="C11" s="28">
        <v>23151769</v>
      </c>
      <c r="D11" s="6" t="s">
        <v>259</v>
      </c>
      <c r="E11" s="2"/>
      <c r="F11" s="2"/>
      <c r="G11" s="2"/>
      <c r="H11" s="2"/>
    </row>
    <row r="12" spans="1:8" ht="18.600000000000001" customHeight="1" x14ac:dyDescent="0.25">
      <c r="A12" s="37">
        <v>11</v>
      </c>
      <c r="B12" s="27" t="s">
        <v>132</v>
      </c>
      <c r="C12" s="29"/>
      <c r="D12" s="6" t="s">
        <v>163</v>
      </c>
      <c r="E12" s="2"/>
      <c r="F12" s="2"/>
      <c r="G12" s="2"/>
      <c r="H12" s="2"/>
    </row>
    <row r="13" spans="1:8" ht="18.600000000000001" customHeight="1" x14ac:dyDescent="0.25">
      <c r="A13" s="37">
        <v>12</v>
      </c>
      <c r="B13" s="27" t="s">
        <v>31</v>
      </c>
      <c r="C13" s="28">
        <v>1003249258</v>
      </c>
      <c r="D13" s="6" t="s">
        <v>164</v>
      </c>
      <c r="E13" s="2"/>
      <c r="F13" s="2"/>
      <c r="G13" s="2"/>
      <c r="H13" s="2"/>
    </row>
    <row r="14" spans="1:8" ht="18.600000000000001" customHeight="1" x14ac:dyDescent="0.25">
      <c r="A14" s="37">
        <v>13</v>
      </c>
      <c r="B14" s="27" t="s">
        <v>95</v>
      </c>
      <c r="C14" s="28">
        <v>23151039</v>
      </c>
      <c r="D14" s="6" t="s">
        <v>165</v>
      </c>
      <c r="E14" s="2"/>
      <c r="F14" s="2"/>
      <c r="G14" s="2"/>
      <c r="H14" s="2"/>
    </row>
    <row r="15" spans="1:8" ht="18.600000000000001" customHeight="1" x14ac:dyDescent="0.25">
      <c r="A15" s="37">
        <v>14</v>
      </c>
      <c r="B15" s="27" t="s">
        <v>94</v>
      </c>
      <c r="C15" s="28">
        <v>28310566</v>
      </c>
      <c r="D15" s="6" t="s">
        <v>166</v>
      </c>
      <c r="E15" s="2"/>
      <c r="F15" s="2"/>
      <c r="G15" s="2"/>
      <c r="H15" s="2"/>
    </row>
    <row r="16" spans="1:8" ht="18.600000000000001" customHeight="1" x14ac:dyDescent="0.25">
      <c r="A16" s="37">
        <v>15</v>
      </c>
      <c r="B16" s="27" t="s">
        <v>102</v>
      </c>
      <c r="C16" s="28">
        <v>1065892267</v>
      </c>
      <c r="D16" s="6" t="s">
        <v>167</v>
      </c>
      <c r="E16" s="2"/>
      <c r="F16" s="2"/>
      <c r="G16" s="2"/>
      <c r="H16" s="2"/>
    </row>
    <row r="17" spans="1:8" ht="18.600000000000001" customHeight="1" x14ac:dyDescent="0.25">
      <c r="A17" s="37">
        <v>16</v>
      </c>
      <c r="B17" s="27" t="s">
        <v>257</v>
      </c>
      <c r="C17" s="28">
        <v>23148213</v>
      </c>
      <c r="D17" s="6" t="s">
        <v>168</v>
      </c>
      <c r="E17" s="2"/>
      <c r="F17" s="2"/>
      <c r="G17" s="2"/>
      <c r="H17" s="2"/>
    </row>
    <row r="18" spans="1:8" ht="18.600000000000001" customHeight="1" x14ac:dyDescent="0.25">
      <c r="A18" s="37">
        <v>17</v>
      </c>
      <c r="B18" s="27" t="s">
        <v>98</v>
      </c>
      <c r="C18" s="28">
        <v>23151144</v>
      </c>
      <c r="D18" s="6" t="s">
        <v>169</v>
      </c>
      <c r="E18" s="2"/>
      <c r="F18" s="2"/>
      <c r="G18" s="2"/>
      <c r="H18" s="2"/>
    </row>
    <row r="19" spans="1:8" ht="18.600000000000001" customHeight="1" x14ac:dyDescent="0.25">
      <c r="A19" s="37">
        <v>18</v>
      </c>
      <c r="B19" s="27" t="s">
        <v>133</v>
      </c>
      <c r="C19" s="28">
        <v>23151128</v>
      </c>
      <c r="D19" s="6" t="s">
        <v>170</v>
      </c>
      <c r="E19" s="2"/>
      <c r="F19" s="2"/>
      <c r="G19" s="2"/>
      <c r="H19" s="2"/>
    </row>
    <row r="20" spans="1:8" ht="18.600000000000001" customHeight="1" x14ac:dyDescent="0.25">
      <c r="A20" s="37">
        <v>19</v>
      </c>
      <c r="B20" s="27" t="s">
        <v>97</v>
      </c>
      <c r="C20" s="28">
        <v>23148165</v>
      </c>
      <c r="D20" s="6" t="s">
        <v>171</v>
      </c>
      <c r="E20" s="2"/>
      <c r="F20" s="2"/>
      <c r="G20" s="2"/>
      <c r="H20" s="2"/>
    </row>
    <row r="21" spans="1:8" ht="18.600000000000001" customHeight="1" x14ac:dyDescent="0.25">
      <c r="A21" s="37">
        <v>20</v>
      </c>
      <c r="B21" s="27" t="s">
        <v>134</v>
      </c>
      <c r="C21" s="28">
        <v>45508106</v>
      </c>
      <c r="D21" s="33" t="s">
        <v>172</v>
      </c>
      <c r="E21" s="2"/>
      <c r="F21" s="2"/>
      <c r="G21" s="2"/>
      <c r="H21" s="2"/>
    </row>
    <row r="22" spans="1:8" ht="18.600000000000001" customHeight="1" x14ac:dyDescent="0.25">
      <c r="A22" s="37">
        <v>21</v>
      </c>
      <c r="B22" s="27" t="s">
        <v>156</v>
      </c>
      <c r="C22" s="28">
        <v>3980795</v>
      </c>
      <c r="D22" s="6" t="s">
        <v>255</v>
      </c>
      <c r="E22" s="2"/>
      <c r="F22" s="2"/>
      <c r="G22" s="2"/>
      <c r="H22" s="2"/>
    </row>
    <row r="23" spans="1:8" ht="18.600000000000001" customHeight="1" x14ac:dyDescent="0.25">
      <c r="A23" s="37">
        <v>22</v>
      </c>
      <c r="B23" s="27" t="s">
        <v>101</v>
      </c>
      <c r="C23" s="28">
        <v>23147623</v>
      </c>
      <c r="D23" s="6" t="s">
        <v>256</v>
      </c>
      <c r="E23" s="2"/>
      <c r="F23" s="2"/>
      <c r="G23" s="2"/>
      <c r="H23" s="2"/>
    </row>
    <row r="24" spans="1:8" ht="18.600000000000001" customHeight="1" x14ac:dyDescent="0.25">
      <c r="A24" s="37">
        <v>23</v>
      </c>
      <c r="B24" s="27" t="s">
        <v>96</v>
      </c>
      <c r="C24" s="28">
        <v>23146827</v>
      </c>
      <c r="D24" s="6" t="s">
        <v>173</v>
      </c>
      <c r="E24" s="2"/>
      <c r="F24" s="2"/>
      <c r="G24" s="2"/>
      <c r="H24" s="2"/>
    </row>
    <row r="25" spans="1:8" ht="18.600000000000001" customHeight="1" x14ac:dyDescent="0.25">
      <c r="A25" s="37">
        <v>24</v>
      </c>
      <c r="B25" s="27" t="s">
        <v>46</v>
      </c>
      <c r="C25" s="28">
        <v>3984411</v>
      </c>
      <c r="D25" s="6" t="s">
        <v>174</v>
      </c>
      <c r="E25" s="2"/>
      <c r="F25" s="2"/>
      <c r="G25" s="2"/>
      <c r="H25" s="2"/>
    </row>
    <row r="26" spans="1:8" ht="18.600000000000001" customHeight="1" x14ac:dyDescent="0.25">
      <c r="A26" s="37">
        <v>25</v>
      </c>
      <c r="B26" s="27" t="s">
        <v>45</v>
      </c>
      <c r="C26" s="28">
        <v>1050549198</v>
      </c>
      <c r="D26" s="6" t="s">
        <v>175</v>
      </c>
      <c r="E26" s="2"/>
      <c r="F26" s="2"/>
      <c r="G26" s="2"/>
      <c r="H26" s="2"/>
    </row>
    <row r="27" spans="1:8" ht="18.600000000000001" customHeight="1" x14ac:dyDescent="0.25">
      <c r="A27" s="37">
        <v>26</v>
      </c>
      <c r="B27" s="27" t="s">
        <v>135</v>
      </c>
      <c r="C27" s="28">
        <v>1129504266</v>
      </c>
      <c r="D27" s="6" t="s">
        <v>176</v>
      </c>
      <c r="E27" s="2"/>
      <c r="F27" s="2"/>
      <c r="G27" s="2"/>
      <c r="H27" s="2"/>
    </row>
    <row r="28" spans="1:8" ht="18.600000000000001" customHeight="1" x14ac:dyDescent="0.25">
      <c r="A28" s="37">
        <v>27</v>
      </c>
      <c r="B28" s="27" t="s">
        <v>44</v>
      </c>
      <c r="C28" s="28">
        <v>1064714270</v>
      </c>
      <c r="D28" s="6" t="s">
        <v>177</v>
      </c>
      <c r="E28" s="2"/>
      <c r="F28" s="2"/>
      <c r="G28" s="2"/>
      <c r="H28" s="2"/>
    </row>
    <row r="29" spans="1:8" ht="18.600000000000001" customHeight="1" x14ac:dyDescent="0.25">
      <c r="A29" s="37">
        <v>28</v>
      </c>
      <c r="B29" s="27" t="s">
        <v>136</v>
      </c>
      <c r="C29" s="28">
        <v>49658251</v>
      </c>
      <c r="D29" s="6" t="s">
        <v>178</v>
      </c>
      <c r="E29" s="2"/>
      <c r="F29" s="2"/>
      <c r="G29" s="2"/>
      <c r="H29" s="2"/>
    </row>
    <row r="30" spans="1:8" ht="18.600000000000001" customHeight="1" x14ac:dyDescent="0.25">
      <c r="A30" s="37">
        <v>29</v>
      </c>
      <c r="B30" s="27" t="s">
        <v>39</v>
      </c>
      <c r="C30" s="28">
        <v>1050918448</v>
      </c>
      <c r="D30" s="6" t="s">
        <v>179</v>
      </c>
      <c r="E30" s="2"/>
      <c r="F30" s="2"/>
      <c r="G30" s="2"/>
      <c r="H30" s="2"/>
    </row>
    <row r="31" spans="1:8" ht="18.600000000000001" customHeight="1" x14ac:dyDescent="0.25">
      <c r="A31" s="37">
        <v>30</v>
      </c>
      <c r="B31" s="27" t="s">
        <v>43</v>
      </c>
      <c r="C31" s="28">
        <v>1007640189</v>
      </c>
      <c r="D31" s="6" t="s">
        <v>180</v>
      </c>
      <c r="E31" s="2"/>
      <c r="F31" s="2"/>
      <c r="G31" s="2"/>
      <c r="H31" s="2"/>
    </row>
    <row r="32" spans="1:8" ht="18.600000000000001" customHeight="1" x14ac:dyDescent="0.25">
      <c r="A32" s="37">
        <v>31</v>
      </c>
      <c r="B32" s="27" t="s">
        <v>38</v>
      </c>
      <c r="C32" s="28">
        <v>3985455</v>
      </c>
      <c r="D32" s="6" t="s">
        <v>181</v>
      </c>
      <c r="E32" s="2"/>
      <c r="F32" s="2"/>
      <c r="G32" s="2"/>
      <c r="H32" s="2"/>
    </row>
    <row r="33" spans="1:8" ht="18.600000000000001" customHeight="1" x14ac:dyDescent="0.25">
      <c r="A33" s="37">
        <v>32</v>
      </c>
      <c r="B33" s="27" t="s">
        <v>40</v>
      </c>
      <c r="C33" s="28">
        <v>1050548458</v>
      </c>
      <c r="D33" s="6" t="s">
        <v>182</v>
      </c>
      <c r="E33" s="2"/>
      <c r="F33" s="2"/>
      <c r="G33" s="2"/>
      <c r="H33" s="2"/>
    </row>
    <row r="34" spans="1:8" ht="18.600000000000001" customHeight="1" x14ac:dyDescent="0.25">
      <c r="A34" s="37">
        <v>33</v>
      </c>
      <c r="B34" s="27" t="s">
        <v>42</v>
      </c>
      <c r="C34" s="28">
        <v>28484251</v>
      </c>
      <c r="D34" s="6" t="s">
        <v>183</v>
      </c>
      <c r="E34" s="2"/>
      <c r="F34" s="2"/>
      <c r="G34" s="2"/>
      <c r="H34" s="2"/>
    </row>
    <row r="35" spans="1:8" ht="18.600000000000001" customHeight="1" x14ac:dyDescent="0.25">
      <c r="A35" s="37">
        <v>34</v>
      </c>
      <c r="B35" s="27" t="s">
        <v>41</v>
      </c>
      <c r="C35" s="28">
        <v>1050922872</v>
      </c>
      <c r="D35" s="6" t="s">
        <v>184</v>
      </c>
      <c r="E35" s="2"/>
      <c r="F35" s="2"/>
      <c r="G35" s="2"/>
      <c r="H35" s="2"/>
    </row>
    <row r="36" spans="1:8" ht="18.600000000000001" customHeight="1" x14ac:dyDescent="0.25">
      <c r="A36" s="37">
        <v>35</v>
      </c>
      <c r="B36" s="27" t="s">
        <v>137</v>
      </c>
      <c r="C36" s="30">
        <v>3984911</v>
      </c>
      <c r="D36" s="6" t="s">
        <v>256</v>
      </c>
      <c r="E36" s="2"/>
      <c r="F36" s="2"/>
      <c r="G36" s="2"/>
      <c r="H36" s="2"/>
    </row>
    <row r="37" spans="1:8" ht="18.600000000000001" customHeight="1" x14ac:dyDescent="0.25">
      <c r="A37" s="37">
        <v>36</v>
      </c>
      <c r="B37" s="27" t="s">
        <v>32</v>
      </c>
      <c r="C37" s="28">
        <v>7952736</v>
      </c>
      <c r="D37" s="6" t="s">
        <v>185</v>
      </c>
      <c r="E37" s="2"/>
      <c r="F37" s="2"/>
      <c r="G37" s="2"/>
      <c r="H37" s="2"/>
    </row>
    <row r="38" spans="1:8" ht="18.600000000000001" customHeight="1" x14ac:dyDescent="0.25">
      <c r="A38" s="37">
        <v>37</v>
      </c>
      <c r="B38" s="27" t="s">
        <v>155</v>
      </c>
      <c r="C38" s="28">
        <v>1003249258</v>
      </c>
      <c r="D38" s="33" t="s">
        <v>254</v>
      </c>
      <c r="E38" s="2"/>
      <c r="F38" s="2"/>
      <c r="G38" s="2"/>
      <c r="H38" s="2"/>
    </row>
    <row r="39" spans="1:8" ht="18.600000000000001" customHeight="1" x14ac:dyDescent="0.25">
      <c r="A39" s="37">
        <v>38</v>
      </c>
      <c r="B39" s="27" t="s">
        <v>138</v>
      </c>
      <c r="C39" s="28">
        <v>1050918288</v>
      </c>
      <c r="D39" s="6" t="s">
        <v>186</v>
      </c>
      <c r="E39" s="2"/>
      <c r="F39" s="2"/>
      <c r="G39" s="2"/>
      <c r="H39" s="2"/>
    </row>
    <row r="40" spans="1:8" ht="18.600000000000001" customHeight="1" x14ac:dyDescent="0.25">
      <c r="A40" s="37">
        <v>39</v>
      </c>
      <c r="B40" s="27" t="s">
        <v>139</v>
      </c>
      <c r="C40" s="28">
        <v>3980795</v>
      </c>
      <c r="D40" s="6" t="s">
        <v>187</v>
      </c>
      <c r="E40" s="2"/>
      <c r="F40" s="2"/>
      <c r="G40" s="2"/>
      <c r="H40" s="2"/>
    </row>
    <row r="41" spans="1:8" ht="18.600000000000001" customHeight="1" x14ac:dyDescent="0.25">
      <c r="A41" s="37">
        <v>40</v>
      </c>
      <c r="B41" s="27" t="s">
        <v>140</v>
      </c>
      <c r="C41" s="29"/>
      <c r="D41" s="6" t="s">
        <v>188</v>
      </c>
      <c r="E41" s="2"/>
      <c r="F41" s="2"/>
      <c r="G41" s="2"/>
      <c r="H41" s="2"/>
    </row>
    <row r="42" spans="1:8" ht="18.600000000000001" customHeight="1" x14ac:dyDescent="0.25">
      <c r="A42" s="37">
        <v>41</v>
      </c>
      <c r="B42" s="27" t="s">
        <v>142</v>
      </c>
      <c r="C42" s="29"/>
      <c r="D42" s="6" t="s">
        <v>190</v>
      </c>
      <c r="E42" s="2"/>
      <c r="F42" s="2"/>
      <c r="G42" s="2"/>
      <c r="H42" s="2"/>
    </row>
    <row r="43" spans="1:8" ht="18.600000000000001" customHeight="1" x14ac:dyDescent="0.25">
      <c r="A43" s="37">
        <v>42</v>
      </c>
      <c r="B43" s="27" t="s">
        <v>141</v>
      </c>
      <c r="C43" s="29"/>
      <c r="D43" s="6" t="s">
        <v>189</v>
      </c>
      <c r="E43" s="2"/>
      <c r="F43" s="2"/>
      <c r="G43" s="2"/>
      <c r="H43" s="2"/>
    </row>
    <row r="44" spans="1:8" ht="18.600000000000001" customHeight="1" x14ac:dyDescent="0.25">
      <c r="A44" s="37">
        <v>43</v>
      </c>
      <c r="B44" s="27" t="s">
        <v>100</v>
      </c>
      <c r="C44" s="28">
        <v>4009792</v>
      </c>
      <c r="D44" s="6" t="s">
        <v>191</v>
      </c>
      <c r="E44" s="2"/>
      <c r="F44" s="2"/>
      <c r="G44" s="2"/>
      <c r="H44" s="2"/>
    </row>
    <row r="45" spans="1:8" ht="18.600000000000001" customHeight="1" x14ac:dyDescent="0.25">
      <c r="A45" s="37">
        <v>44</v>
      </c>
      <c r="B45" s="27" t="s">
        <v>143</v>
      </c>
      <c r="C45" s="28">
        <v>1036132710</v>
      </c>
      <c r="D45" s="6" t="s">
        <v>192</v>
      </c>
      <c r="E45" s="2"/>
      <c r="F45" s="2"/>
      <c r="G45" s="2"/>
      <c r="H45" s="2"/>
    </row>
    <row r="46" spans="1:8" ht="18.600000000000001" customHeight="1" x14ac:dyDescent="0.25">
      <c r="A46" s="37">
        <v>45</v>
      </c>
      <c r="B46" s="27" t="s">
        <v>99</v>
      </c>
      <c r="C46" s="28">
        <v>30783127</v>
      </c>
      <c r="D46" s="6" t="s">
        <v>193</v>
      </c>
      <c r="E46" s="2"/>
      <c r="F46" s="2"/>
      <c r="G46" s="2"/>
      <c r="H46" s="2"/>
    </row>
    <row r="47" spans="1:8" ht="18.600000000000001" customHeight="1" x14ac:dyDescent="0.25">
      <c r="A47" s="37">
        <v>46</v>
      </c>
      <c r="B47" s="27" t="s">
        <v>93</v>
      </c>
      <c r="C47" s="28">
        <v>1050551325</v>
      </c>
      <c r="D47" s="6" t="s">
        <v>194</v>
      </c>
      <c r="E47" s="2"/>
      <c r="F47" s="2"/>
      <c r="G47" s="2"/>
      <c r="H47" s="2"/>
    </row>
    <row r="48" spans="1:8" ht="18.600000000000001" customHeight="1" x14ac:dyDescent="0.25">
      <c r="A48" s="37">
        <v>47</v>
      </c>
      <c r="B48" s="27" t="s">
        <v>92</v>
      </c>
      <c r="C48" s="28">
        <v>1050919786</v>
      </c>
      <c r="D48" s="6" t="s">
        <v>195</v>
      </c>
      <c r="E48" s="2"/>
      <c r="F48" s="2"/>
      <c r="G48" s="2"/>
      <c r="H48" s="2"/>
    </row>
    <row r="49" spans="1:8" ht="18.600000000000001" customHeight="1" x14ac:dyDescent="0.25">
      <c r="A49" s="37">
        <v>48</v>
      </c>
      <c r="B49" s="27" t="s">
        <v>91</v>
      </c>
      <c r="C49" s="28">
        <v>23148760</v>
      </c>
      <c r="D49" s="6" t="s">
        <v>196</v>
      </c>
      <c r="E49" s="2"/>
      <c r="F49" s="2"/>
      <c r="G49" s="2"/>
      <c r="H49" s="2"/>
    </row>
    <row r="50" spans="1:8" ht="18.600000000000001" customHeight="1" x14ac:dyDescent="0.25">
      <c r="A50" s="37">
        <v>49</v>
      </c>
      <c r="B50" s="27" t="s">
        <v>144</v>
      </c>
      <c r="C50" s="29"/>
      <c r="D50" s="6" t="s">
        <v>197</v>
      </c>
      <c r="E50" s="2"/>
      <c r="F50" s="2"/>
      <c r="G50" s="2"/>
      <c r="H50" s="2"/>
    </row>
    <row r="51" spans="1:8" ht="18.600000000000001" customHeight="1" x14ac:dyDescent="0.25">
      <c r="A51" s="37">
        <v>50</v>
      </c>
      <c r="B51" s="27" t="s">
        <v>249</v>
      </c>
      <c r="C51" s="29"/>
      <c r="D51" s="6" t="s">
        <v>250</v>
      </c>
      <c r="E51" s="2"/>
      <c r="F51" s="2"/>
      <c r="G51" s="2"/>
      <c r="H51" s="2"/>
    </row>
    <row r="52" spans="1:8" ht="18.600000000000001" customHeight="1" x14ac:dyDescent="0.25">
      <c r="A52" s="37">
        <v>51</v>
      </c>
      <c r="B52" s="27" t="s">
        <v>145</v>
      </c>
      <c r="C52" s="29"/>
      <c r="D52" s="6" t="s">
        <v>198</v>
      </c>
      <c r="E52" s="2"/>
      <c r="F52" s="2"/>
      <c r="G52" s="2"/>
      <c r="H52" s="2"/>
    </row>
    <row r="53" spans="1:8" ht="18.600000000000001" customHeight="1" x14ac:dyDescent="0.25">
      <c r="A53" s="37">
        <v>52</v>
      </c>
      <c r="B53" s="27" t="s">
        <v>88</v>
      </c>
      <c r="C53" s="28">
        <v>1050922793</v>
      </c>
      <c r="D53" s="6" t="s">
        <v>199</v>
      </c>
      <c r="E53" s="2"/>
      <c r="F53" s="2"/>
      <c r="G53" s="2"/>
      <c r="H53" s="2"/>
    </row>
    <row r="54" spans="1:8" ht="18.600000000000001" customHeight="1" x14ac:dyDescent="0.25">
      <c r="A54" s="37">
        <v>53</v>
      </c>
      <c r="B54" s="27" t="s">
        <v>89</v>
      </c>
      <c r="C54" s="28">
        <v>7982037</v>
      </c>
      <c r="D54" s="6" t="s">
        <v>179</v>
      </c>
      <c r="E54" s="2"/>
      <c r="F54" s="2"/>
      <c r="G54" s="2"/>
      <c r="H54" s="2"/>
    </row>
    <row r="55" spans="1:8" ht="18.600000000000001" customHeight="1" x14ac:dyDescent="0.25">
      <c r="A55" s="37">
        <v>54</v>
      </c>
      <c r="B55" s="27" t="s">
        <v>50</v>
      </c>
      <c r="C55" s="28">
        <v>63460471</v>
      </c>
      <c r="D55" s="6" t="s">
        <v>200</v>
      </c>
      <c r="E55" s="2"/>
      <c r="F55" s="2"/>
      <c r="G55" s="2"/>
      <c r="H55" s="2"/>
    </row>
    <row r="56" spans="1:8" ht="18.600000000000001" customHeight="1" x14ac:dyDescent="0.25">
      <c r="A56" s="37">
        <v>55</v>
      </c>
      <c r="B56" s="27" t="s">
        <v>90</v>
      </c>
      <c r="C56" s="28">
        <v>1096182507</v>
      </c>
      <c r="D56" s="6" t="s">
        <v>248</v>
      </c>
      <c r="E56" s="2"/>
      <c r="F56" s="2"/>
      <c r="G56" s="2"/>
      <c r="H56" s="2"/>
    </row>
    <row r="57" spans="1:8" ht="18.600000000000001" customHeight="1" x14ac:dyDescent="0.25">
      <c r="A57" s="37">
        <v>56</v>
      </c>
      <c r="B57" s="27" t="s">
        <v>267</v>
      </c>
      <c r="C57" s="28"/>
      <c r="D57" s="6" t="s">
        <v>268</v>
      </c>
      <c r="E57" s="2"/>
      <c r="F57" s="2"/>
      <c r="G57" s="2"/>
      <c r="H57" s="2"/>
    </row>
    <row r="58" spans="1:8" ht="18.600000000000001" customHeight="1" x14ac:dyDescent="0.25">
      <c r="A58" s="37">
        <v>57</v>
      </c>
      <c r="B58" s="39" t="s">
        <v>252</v>
      </c>
      <c r="C58" s="28"/>
      <c r="D58" s="33" t="s">
        <v>253</v>
      </c>
      <c r="E58" s="2"/>
      <c r="F58" s="2"/>
      <c r="G58" s="2"/>
      <c r="H58" s="2"/>
    </row>
    <row r="59" spans="1:8" ht="18.600000000000001" customHeight="1" x14ac:dyDescent="0.25">
      <c r="A59" s="37">
        <v>58</v>
      </c>
      <c r="B59" s="27" t="s">
        <v>146</v>
      </c>
      <c r="C59" s="28"/>
      <c r="D59" s="33" t="s">
        <v>251</v>
      </c>
      <c r="E59" s="2"/>
      <c r="F59" s="2"/>
      <c r="G59" s="2"/>
      <c r="H59" s="2"/>
    </row>
    <row r="60" spans="1:8" ht="18.600000000000001" customHeight="1" x14ac:dyDescent="0.25">
      <c r="A60" s="37">
        <v>59</v>
      </c>
      <c r="B60" s="27" t="s">
        <v>103</v>
      </c>
      <c r="C60" s="28">
        <v>5123049</v>
      </c>
      <c r="D60" s="6" t="s">
        <v>201</v>
      </c>
      <c r="E60" s="2"/>
      <c r="F60" s="2"/>
      <c r="G60" s="2"/>
      <c r="H60" s="2"/>
    </row>
    <row r="61" spans="1:8" ht="18.600000000000001" customHeight="1" x14ac:dyDescent="0.25">
      <c r="A61" s="37">
        <v>60</v>
      </c>
      <c r="B61" s="27" t="s">
        <v>51</v>
      </c>
      <c r="C61" s="28">
        <v>60413531</v>
      </c>
      <c r="D61" s="6" t="s">
        <v>202</v>
      </c>
      <c r="E61" s="2"/>
      <c r="F61" s="2"/>
      <c r="G61" s="2"/>
      <c r="H61" s="2"/>
    </row>
    <row r="62" spans="1:8" ht="18.600000000000001" customHeight="1" x14ac:dyDescent="0.25">
      <c r="A62" s="37">
        <v>61</v>
      </c>
      <c r="B62" s="27" t="s">
        <v>56</v>
      </c>
      <c r="C62" s="28">
        <v>1050543916</v>
      </c>
      <c r="D62" s="6" t="s">
        <v>203</v>
      </c>
      <c r="E62" s="2"/>
      <c r="F62" s="2"/>
      <c r="G62" s="2"/>
      <c r="H62" s="2"/>
    </row>
    <row r="63" spans="1:8" ht="18.600000000000001" customHeight="1" x14ac:dyDescent="0.25">
      <c r="A63" s="37">
        <v>62</v>
      </c>
      <c r="B63" s="31" t="s">
        <v>35</v>
      </c>
      <c r="C63" s="32">
        <v>1019104565</v>
      </c>
      <c r="D63" s="6" t="s">
        <v>204</v>
      </c>
      <c r="E63" s="2"/>
      <c r="F63" s="2"/>
      <c r="G63" s="2"/>
      <c r="H63" s="2"/>
    </row>
    <row r="64" spans="1:8" ht="18.600000000000001" customHeight="1" x14ac:dyDescent="0.25">
      <c r="A64" s="37">
        <v>63</v>
      </c>
      <c r="B64" s="27" t="s">
        <v>52</v>
      </c>
      <c r="C64" s="28">
        <v>1007640487</v>
      </c>
      <c r="D64" s="33" t="s">
        <v>278</v>
      </c>
      <c r="E64" s="2"/>
      <c r="F64" s="2"/>
      <c r="G64" s="2"/>
      <c r="H64" s="2"/>
    </row>
    <row r="65" spans="1:8" ht="18.600000000000001" customHeight="1" x14ac:dyDescent="0.25">
      <c r="A65" s="37">
        <v>64</v>
      </c>
      <c r="B65" s="27" t="s">
        <v>243</v>
      </c>
      <c r="C65" s="28">
        <v>9115707</v>
      </c>
      <c r="D65" s="6" t="s">
        <v>244</v>
      </c>
      <c r="E65" s="2"/>
      <c r="F65" s="2"/>
      <c r="G65" s="2"/>
      <c r="H65" s="2"/>
    </row>
    <row r="66" spans="1:8" ht="18.600000000000001" customHeight="1" x14ac:dyDescent="0.25">
      <c r="A66" s="37">
        <v>65</v>
      </c>
      <c r="B66" s="27" t="s">
        <v>245</v>
      </c>
      <c r="C66" s="28">
        <v>23148157</v>
      </c>
      <c r="D66" s="6" t="s">
        <v>247</v>
      </c>
      <c r="E66" s="2"/>
      <c r="F66" s="2"/>
      <c r="G66" s="2"/>
      <c r="H66" s="2"/>
    </row>
    <row r="67" spans="1:8" ht="18.600000000000001" customHeight="1" x14ac:dyDescent="0.25">
      <c r="A67" s="37">
        <v>66</v>
      </c>
      <c r="B67" s="27" t="s">
        <v>246</v>
      </c>
      <c r="C67" s="28">
        <v>23148157</v>
      </c>
      <c r="D67" s="6" t="s">
        <v>205</v>
      </c>
      <c r="E67" s="2"/>
      <c r="F67" s="2"/>
      <c r="G67" s="2"/>
      <c r="H67" s="2"/>
    </row>
    <row r="68" spans="1:8" ht="18.600000000000001" customHeight="1" x14ac:dyDescent="0.25">
      <c r="A68" s="37">
        <v>67</v>
      </c>
      <c r="B68" s="27" t="s">
        <v>53</v>
      </c>
      <c r="C68" s="28">
        <v>363536902</v>
      </c>
      <c r="D68" s="6" t="s">
        <v>206</v>
      </c>
      <c r="E68" s="2"/>
      <c r="F68" s="2"/>
      <c r="G68" s="2"/>
      <c r="H68" s="2"/>
    </row>
    <row r="69" spans="1:8" ht="18.600000000000001" customHeight="1" x14ac:dyDescent="0.25">
      <c r="A69" s="37">
        <v>68</v>
      </c>
      <c r="B69" s="27" t="s">
        <v>54</v>
      </c>
      <c r="C69" s="28">
        <v>72244699</v>
      </c>
      <c r="D69" s="6" t="s">
        <v>272</v>
      </c>
      <c r="E69" s="2"/>
      <c r="F69" s="2"/>
      <c r="G69" s="2"/>
      <c r="H69" s="2"/>
    </row>
    <row r="70" spans="1:8" ht="18.600000000000001" customHeight="1" x14ac:dyDescent="0.25">
      <c r="A70" s="37">
        <v>69</v>
      </c>
      <c r="B70" s="27" t="s">
        <v>55</v>
      </c>
      <c r="C70" s="28">
        <v>3982623</v>
      </c>
      <c r="D70" s="6" t="s">
        <v>207</v>
      </c>
      <c r="E70" s="2"/>
      <c r="F70" s="2"/>
      <c r="G70" s="2"/>
      <c r="H70" s="2"/>
    </row>
    <row r="71" spans="1:8" ht="18.600000000000001" customHeight="1" x14ac:dyDescent="0.25">
      <c r="A71" s="37">
        <v>70</v>
      </c>
      <c r="B71" s="27" t="s">
        <v>71</v>
      </c>
      <c r="C71" s="28">
        <v>1050920384</v>
      </c>
      <c r="D71" s="6" t="s">
        <v>208</v>
      </c>
      <c r="E71" s="2"/>
      <c r="F71" s="2"/>
      <c r="G71" s="2"/>
      <c r="H71" s="2"/>
    </row>
    <row r="72" spans="1:8" ht="18.600000000000001" customHeight="1" x14ac:dyDescent="0.25">
      <c r="A72" s="37">
        <v>71</v>
      </c>
      <c r="B72" s="27" t="s">
        <v>60</v>
      </c>
      <c r="C72" s="28">
        <v>39275553</v>
      </c>
      <c r="D72" s="6" t="s">
        <v>209</v>
      </c>
      <c r="E72" s="2"/>
      <c r="F72" s="2"/>
      <c r="G72" s="2"/>
      <c r="H72" s="2"/>
    </row>
    <row r="73" spans="1:8" ht="18.600000000000001" customHeight="1" x14ac:dyDescent="0.25">
      <c r="A73" s="37">
        <v>72</v>
      </c>
      <c r="B73" s="27" t="s">
        <v>59</v>
      </c>
      <c r="C73" s="28">
        <v>1049290733</v>
      </c>
      <c r="D73" s="6" t="s">
        <v>210</v>
      </c>
      <c r="E73" s="2"/>
      <c r="F73" s="2"/>
      <c r="G73" s="2"/>
      <c r="H73" s="2"/>
    </row>
    <row r="74" spans="1:8" ht="18.600000000000001" customHeight="1" x14ac:dyDescent="0.25">
      <c r="A74" s="37">
        <v>73</v>
      </c>
      <c r="B74" s="27" t="s">
        <v>283</v>
      </c>
      <c r="C74" s="28"/>
      <c r="D74" s="40" t="s">
        <v>212</v>
      </c>
      <c r="E74" s="2"/>
      <c r="F74" s="2"/>
      <c r="G74" s="2"/>
      <c r="H74" s="2"/>
    </row>
    <row r="75" spans="1:8" ht="18.600000000000001" customHeight="1" x14ac:dyDescent="0.25">
      <c r="A75" s="37">
        <v>74</v>
      </c>
      <c r="B75" s="27" t="s">
        <v>57</v>
      </c>
      <c r="C75" s="28">
        <v>20855997</v>
      </c>
      <c r="D75" s="6" t="s">
        <v>273</v>
      </c>
      <c r="E75" s="2"/>
      <c r="F75" s="2"/>
      <c r="G75" s="2"/>
      <c r="H75" s="2"/>
    </row>
    <row r="76" spans="1:8" ht="18.600000000000001" customHeight="1" x14ac:dyDescent="0.25">
      <c r="A76" s="37">
        <v>75</v>
      </c>
      <c r="B76" s="27" t="s">
        <v>211</v>
      </c>
      <c r="C76" s="28">
        <v>1049290922</v>
      </c>
      <c r="D76" s="6" t="s">
        <v>213</v>
      </c>
      <c r="E76" s="2"/>
      <c r="F76" s="2"/>
      <c r="G76" s="2"/>
      <c r="H76" s="2"/>
    </row>
    <row r="77" spans="1:8" ht="18.600000000000001" customHeight="1" x14ac:dyDescent="0.25">
      <c r="A77" s="37">
        <v>76</v>
      </c>
      <c r="B77" s="27" t="s">
        <v>73</v>
      </c>
      <c r="C77" s="28">
        <v>13565272</v>
      </c>
      <c r="D77" s="6" t="s">
        <v>214</v>
      </c>
      <c r="E77" s="2"/>
      <c r="F77" s="2"/>
      <c r="G77" s="2"/>
      <c r="H77" s="2"/>
    </row>
    <row r="78" spans="1:8" ht="18.600000000000001" customHeight="1" x14ac:dyDescent="0.25">
      <c r="A78" s="37">
        <v>77</v>
      </c>
      <c r="B78" s="27" t="s">
        <v>58</v>
      </c>
      <c r="C78" s="28">
        <v>1002295309</v>
      </c>
      <c r="D78" s="6" t="s">
        <v>215</v>
      </c>
      <c r="E78" s="2"/>
      <c r="F78" s="2"/>
      <c r="G78" s="2"/>
      <c r="H78" s="2"/>
    </row>
    <row r="79" spans="1:8" ht="18.600000000000001" customHeight="1" x14ac:dyDescent="0.25">
      <c r="A79" s="37">
        <v>78</v>
      </c>
      <c r="B79" s="27" t="s">
        <v>74</v>
      </c>
      <c r="C79" s="28">
        <v>1050919263</v>
      </c>
      <c r="D79" s="6" t="s">
        <v>216</v>
      </c>
      <c r="E79" s="2"/>
      <c r="F79" s="2"/>
      <c r="G79" s="2"/>
      <c r="H79" s="2"/>
    </row>
    <row r="80" spans="1:8" ht="18.600000000000001" customHeight="1" x14ac:dyDescent="0.25">
      <c r="A80" s="37">
        <v>79</v>
      </c>
      <c r="B80" s="27" t="s">
        <v>147</v>
      </c>
      <c r="C80" s="29"/>
      <c r="D80" s="6" t="s">
        <v>217</v>
      </c>
      <c r="E80" s="2"/>
      <c r="F80" s="2"/>
      <c r="G80" s="2"/>
      <c r="H80" s="2"/>
    </row>
    <row r="81" spans="1:8" ht="18.600000000000001" customHeight="1" x14ac:dyDescent="0.25">
      <c r="A81" s="37">
        <v>80</v>
      </c>
      <c r="B81" s="27" t="s">
        <v>148</v>
      </c>
      <c r="C81" s="29"/>
      <c r="D81" s="6" t="s">
        <v>271</v>
      </c>
      <c r="E81" s="2"/>
      <c r="F81" s="2"/>
      <c r="G81" s="2"/>
      <c r="H81" s="2"/>
    </row>
    <row r="82" spans="1:8" ht="18.600000000000001" customHeight="1" x14ac:dyDescent="0.25">
      <c r="A82" s="37">
        <v>81</v>
      </c>
      <c r="B82" s="27" t="s">
        <v>149</v>
      </c>
      <c r="C82" s="28">
        <v>63540315</v>
      </c>
      <c r="D82" s="6" t="s">
        <v>218</v>
      </c>
      <c r="E82" s="2"/>
      <c r="F82" s="2"/>
      <c r="G82" s="2"/>
      <c r="H82" s="2"/>
    </row>
    <row r="83" spans="1:8" ht="18.600000000000001" customHeight="1" x14ac:dyDescent="0.25">
      <c r="A83" s="37">
        <v>82</v>
      </c>
      <c r="B83" s="27" t="s">
        <v>68</v>
      </c>
      <c r="C83" s="28">
        <v>1049291131</v>
      </c>
      <c r="D83" s="6" t="s">
        <v>219</v>
      </c>
      <c r="E83" s="2"/>
      <c r="F83" s="2"/>
      <c r="G83" s="2"/>
      <c r="H83" s="2"/>
    </row>
    <row r="84" spans="1:8" ht="18.600000000000001" customHeight="1" x14ac:dyDescent="0.25">
      <c r="A84" s="37">
        <v>83</v>
      </c>
      <c r="B84" s="27" t="s">
        <v>69</v>
      </c>
      <c r="C84" s="28">
        <v>23151643</v>
      </c>
      <c r="D84" s="6" t="s">
        <v>274</v>
      </c>
      <c r="E84" s="2"/>
      <c r="F84" s="2"/>
      <c r="G84" s="2"/>
      <c r="H84" s="2"/>
    </row>
    <row r="85" spans="1:8" ht="18.600000000000001" customHeight="1" x14ac:dyDescent="0.25">
      <c r="A85" s="37">
        <v>84</v>
      </c>
      <c r="B85" s="27" t="s">
        <v>64</v>
      </c>
      <c r="C85" s="28">
        <v>23148767</v>
      </c>
      <c r="D85" s="6" t="s">
        <v>220</v>
      </c>
      <c r="E85" s="2"/>
      <c r="F85" s="2"/>
      <c r="G85" s="2"/>
      <c r="H85" s="2"/>
    </row>
    <row r="86" spans="1:8" ht="18.600000000000001" customHeight="1" x14ac:dyDescent="0.25">
      <c r="A86" s="37">
        <v>85</v>
      </c>
      <c r="B86" s="27" t="s">
        <v>49</v>
      </c>
      <c r="C86" s="28">
        <v>23148762</v>
      </c>
      <c r="D86" s="6" t="s">
        <v>221</v>
      </c>
      <c r="E86" s="2"/>
      <c r="F86" s="2"/>
      <c r="G86" s="2"/>
      <c r="H86" s="2"/>
    </row>
    <row r="87" spans="1:8" ht="18.600000000000001" customHeight="1" x14ac:dyDescent="0.25">
      <c r="A87" s="37">
        <v>86</v>
      </c>
      <c r="B87" s="27" t="s">
        <v>48</v>
      </c>
      <c r="C87" s="28">
        <v>1002298169</v>
      </c>
      <c r="D87" s="6" t="s">
        <v>222</v>
      </c>
      <c r="E87" s="2"/>
      <c r="F87" s="2"/>
      <c r="G87" s="2"/>
      <c r="H87" s="2"/>
    </row>
    <row r="88" spans="1:8" ht="18.600000000000001" customHeight="1" x14ac:dyDescent="0.25">
      <c r="A88" s="37">
        <v>87</v>
      </c>
      <c r="B88" s="27" t="s">
        <v>67</v>
      </c>
      <c r="C88" s="28">
        <v>10991284</v>
      </c>
      <c r="D88" s="6" t="s">
        <v>223</v>
      </c>
      <c r="E88" s="2"/>
      <c r="F88" s="2"/>
      <c r="G88" s="2"/>
      <c r="H88" s="2"/>
    </row>
    <row r="89" spans="1:8" ht="18.600000000000001" customHeight="1" x14ac:dyDescent="0.25">
      <c r="A89" s="37">
        <v>88</v>
      </c>
      <c r="B89" s="27" t="s">
        <v>150</v>
      </c>
      <c r="C89" s="29"/>
      <c r="D89" s="6" t="s">
        <v>224</v>
      </c>
      <c r="E89" s="2"/>
      <c r="F89" s="2"/>
      <c r="G89" s="2"/>
      <c r="H89" s="2"/>
    </row>
    <row r="90" spans="1:8" ht="18.600000000000001" customHeight="1" x14ac:dyDescent="0.25">
      <c r="A90" s="37">
        <v>89</v>
      </c>
      <c r="B90" s="27" t="s">
        <v>151</v>
      </c>
      <c r="C90" s="29"/>
      <c r="D90" s="6" t="s">
        <v>225</v>
      </c>
      <c r="E90" s="2"/>
      <c r="F90" s="2"/>
      <c r="G90" s="2"/>
      <c r="H90" s="2"/>
    </row>
    <row r="91" spans="1:8" ht="18.600000000000001" customHeight="1" x14ac:dyDescent="0.25">
      <c r="A91" s="37">
        <v>90</v>
      </c>
      <c r="B91" s="27" t="s">
        <v>61</v>
      </c>
      <c r="C91" s="28">
        <v>3985692</v>
      </c>
      <c r="D91" s="6" t="s">
        <v>226</v>
      </c>
      <c r="E91" s="2"/>
      <c r="F91" s="2"/>
      <c r="G91" s="2"/>
      <c r="H91" s="2"/>
    </row>
    <row r="92" spans="1:8" ht="18.600000000000001" customHeight="1" x14ac:dyDescent="0.25">
      <c r="A92" s="37">
        <v>91</v>
      </c>
      <c r="B92" s="27" t="s">
        <v>152</v>
      </c>
      <c r="C92" s="28">
        <v>23151128</v>
      </c>
      <c r="D92" s="6" t="s">
        <v>227</v>
      </c>
      <c r="E92" s="2"/>
      <c r="F92" s="2"/>
      <c r="G92" s="2"/>
      <c r="H92" s="2"/>
    </row>
    <row r="93" spans="1:8" ht="18.600000000000001" customHeight="1" x14ac:dyDescent="0.25">
      <c r="A93" s="37">
        <v>92</v>
      </c>
      <c r="B93" s="27" t="s">
        <v>47</v>
      </c>
      <c r="C93" s="28">
        <v>3984700</v>
      </c>
      <c r="D93" s="6" t="s">
        <v>228</v>
      </c>
      <c r="E93" s="2"/>
      <c r="F93" s="2"/>
      <c r="G93" s="2"/>
      <c r="H93" s="2"/>
    </row>
    <row r="94" spans="1:8" ht="18.600000000000001" customHeight="1" x14ac:dyDescent="0.25">
      <c r="A94" s="37">
        <v>93</v>
      </c>
      <c r="B94" s="27" t="s">
        <v>78</v>
      </c>
      <c r="C94" s="28">
        <v>1050919046</v>
      </c>
      <c r="D94" s="6" t="s">
        <v>229</v>
      </c>
      <c r="E94" s="2"/>
      <c r="F94" s="2"/>
      <c r="G94" s="2"/>
      <c r="H94" s="2"/>
    </row>
    <row r="95" spans="1:8" ht="18.600000000000001" customHeight="1" x14ac:dyDescent="0.25">
      <c r="A95" s="37">
        <v>94</v>
      </c>
      <c r="B95" s="27" t="s">
        <v>153</v>
      </c>
      <c r="C95" s="28">
        <v>3981270</v>
      </c>
      <c r="D95" s="6" t="s">
        <v>230</v>
      </c>
      <c r="E95" s="2"/>
      <c r="F95" s="2"/>
      <c r="G95" s="2"/>
      <c r="H95" s="2"/>
    </row>
    <row r="96" spans="1:8" ht="18.600000000000001" customHeight="1" x14ac:dyDescent="0.25">
      <c r="A96" s="37">
        <v>95</v>
      </c>
      <c r="B96" s="27" t="s">
        <v>79</v>
      </c>
      <c r="C96" s="28">
        <v>3983234</v>
      </c>
      <c r="D96" s="6" t="s">
        <v>231</v>
      </c>
      <c r="E96" s="2"/>
      <c r="F96" s="2"/>
      <c r="G96" s="2"/>
      <c r="H96" s="2"/>
    </row>
    <row r="97" spans="1:8" ht="18.600000000000001" customHeight="1" x14ac:dyDescent="0.25">
      <c r="A97" s="37">
        <v>96</v>
      </c>
      <c r="B97" s="27" t="s">
        <v>70</v>
      </c>
      <c r="C97" s="28">
        <v>4944297</v>
      </c>
      <c r="D97" s="6" t="s">
        <v>232</v>
      </c>
      <c r="E97" s="2"/>
      <c r="F97" s="2"/>
      <c r="G97" s="2"/>
      <c r="H97" s="2"/>
    </row>
    <row r="98" spans="1:8" ht="18.600000000000001" customHeight="1" x14ac:dyDescent="0.25">
      <c r="A98" s="37">
        <v>97</v>
      </c>
      <c r="B98" s="27" t="s">
        <v>80</v>
      </c>
      <c r="C98" s="28">
        <v>3443066</v>
      </c>
      <c r="D98" s="6" t="s">
        <v>233</v>
      </c>
      <c r="E98" s="2"/>
      <c r="F98" s="2"/>
      <c r="G98" s="2"/>
      <c r="H98" s="2"/>
    </row>
    <row r="99" spans="1:8" ht="18.600000000000001" customHeight="1" x14ac:dyDescent="0.25">
      <c r="A99" s="37">
        <v>98</v>
      </c>
      <c r="B99" s="27" t="s">
        <v>284</v>
      </c>
      <c r="C99" s="29"/>
      <c r="D99" s="6" t="s">
        <v>256</v>
      </c>
      <c r="E99" s="2"/>
      <c r="F99" s="2"/>
      <c r="G99" s="2"/>
      <c r="H99" s="2"/>
    </row>
    <row r="100" spans="1:8" ht="18.600000000000001" customHeight="1" x14ac:dyDescent="0.25">
      <c r="A100" s="37">
        <v>99</v>
      </c>
      <c r="B100" s="27" t="s">
        <v>81</v>
      </c>
      <c r="C100" s="28">
        <v>1050920336</v>
      </c>
      <c r="D100" s="6" t="s">
        <v>234</v>
      </c>
      <c r="E100" s="2"/>
      <c r="F100" s="2"/>
      <c r="G100" s="2"/>
      <c r="H100" s="2"/>
    </row>
    <row r="101" spans="1:8" ht="18.600000000000001" customHeight="1" x14ac:dyDescent="0.25">
      <c r="A101" s="37">
        <v>100</v>
      </c>
      <c r="B101" s="27" t="s">
        <v>104</v>
      </c>
      <c r="C101" s="28">
        <v>30783184</v>
      </c>
      <c r="D101" s="6" t="s">
        <v>235</v>
      </c>
      <c r="E101" s="2"/>
      <c r="F101" s="2"/>
      <c r="G101" s="2"/>
      <c r="H101" s="2"/>
    </row>
    <row r="102" spans="1:8" ht="18.600000000000001" customHeight="1" x14ac:dyDescent="0.25">
      <c r="A102" s="37">
        <v>101</v>
      </c>
      <c r="B102" s="27" t="s">
        <v>269</v>
      </c>
      <c r="C102" s="28">
        <v>30783184</v>
      </c>
      <c r="D102" s="33" t="s">
        <v>270</v>
      </c>
      <c r="E102" s="2"/>
      <c r="F102" s="2"/>
      <c r="G102" s="2"/>
      <c r="H102" s="2"/>
    </row>
    <row r="103" spans="1:8" ht="18.600000000000001" customHeight="1" x14ac:dyDescent="0.25">
      <c r="A103" s="37">
        <v>102</v>
      </c>
      <c r="B103" s="27" t="s">
        <v>77</v>
      </c>
      <c r="C103" s="28">
        <v>7982190</v>
      </c>
      <c r="D103" s="40" t="s">
        <v>265</v>
      </c>
      <c r="E103" s="2"/>
      <c r="F103" s="2"/>
      <c r="G103" s="2"/>
      <c r="H103" s="2"/>
    </row>
    <row r="104" spans="1:8" ht="18.600000000000001" customHeight="1" x14ac:dyDescent="0.25">
      <c r="A104" s="37">
        <v>103</v>
      </c>
      <c r="B104" s="27" t="s">
        <v>266</v>
      </c>
      <c r="C104" s="28"/>
      <c r="D104" s="6" t="s">
        <v>236</v>
      </c>
      <c r="E104" s="2"/>
      <c r="F104" s="2"/>
      <c r="G104" s="2"/>
      <c r="H104" s="2"/>
    </row>
    <row r="105" spans="1:8" ht="18.600000000000001" customHeight="1" x14ac:dyDescent="0.25">
      <c r="A105" s="37">
        <v>104</v>
      </c>
      <c r="B105" s="27" t="s">
        <v>75</v>
      </c>
      <c r="C105" s="28">
        <v>2763953</v>
      </c>
      <c r="D105" s="6" t="s">
        <v>237</v>
      </c>
      <c r="E105" s="2"/>
      <c r="F105" s="2"/>
      <c r="G105" s="2"/>
      <c r="H105" s="2"/>
    </row>
    <row r="106" spans="1:8" ht="18.600000000000001" customHeight="1" x14ac:dyDescent="0.25">
      <c r="A106" s="37">
        <v>105</v>
      </c>
      <c r="B106" s="27" t="s">
        <v>276</v>
      </c>
      <c r="C106" s="28">
        <v>23151952</v>
      </c>
      <c r="D106" s="6" t="s">
        <v>238</v>
      </c>
      <c r="E106" s="2"/>
      <c r="F106" s="2"/>
      <c r="G106" s="2"/>
      <c r="H106" s="2"/>
    </row>
    <row r="107" spans="1:8" ht="18.600000000000001" customHeight="1" x14ac:dyDescent="0.25">
      <c r="A107" s="37">
        <v>106</v>
      </c>
      <c r="B107" s="27" t="s">
        <v>105</v>
      </c>
      <c r="C107" s="28">
        <v>23151952</v>
      </c>
      <c r="D107" s="6" t="s">
        <v>277</v>
      </c>
      <c r="E107" s="2"/>
      <c r="F107" s="2"/>
      <c r="G107" s="2"/>
      <c r="H107" s="2"/>
    </row>
    <row r="108" spans="1:8" ht="18.600000000000001" customHeight="1" x14ac:dyDescent="0.25">
      <c r="A108" s="37">
        <v>107</v>
      </c>
      <c r="B108" s="27" t="s">
        <v>66</v>
      </c>
      <c r="C108" s="28">
        <v>1016925786</v>
      </c>
      <c r="D108" s="6" t="s">
        <v>239</v>
      </c>
      <c r="E108" s="2"/>
      <c r="F108" s="2"/>
      <c r="G108" s="2"/>
      <c r="H108" s="2"/>
    </row>
    <row r="109" spans="1:8" ht="18.600000000000001" customHeight="1" x14ac:dyDescent="0.25">
      <c r="A109" s="37">
        <v>108</v>
      </c>
      <c r="B109" s="27" t="s">
        <v>76</v>
      </c>
      <c r="C109" s="28">
        <v>23151423</v>
      </c>
      <c r="D109" s="6" t="s">
        <v>240</v>
      </c>
      <c r="E109" s="2"/>
      <c r="F109" s="2"/>
      <c r="G109" s="2"/>
      <c r="H109" s="2"/>
    </row>
    <row r="110" spans="1:8" ht="18.600000000000001" customHeight="1" x14ac:dyDescent="0.25">
      <c r="A110" s="37">
        <v>109</v>
      </c>
      <c r="B110" s="27" t="s">
        <v>62</v>
      </c>
      <c r="C110" s="28">
        <v>32005647</v>
      </c>
      <c r="D110" s="6" t="s">
        <v>275</v>
      </c>
      <c r="E110" s="2"/>
      <c r="F110" s="2"/>
      <c r="G110" s="2"/>
      <c r="H110" s="2"/>
    </row>
    <row r="111" spans="1:8" ht="18.600000000000001" customHeight="1" x14ac:dyDescent="0.25">
      <c r="A111" s="37">
        <v>110</v>
      </c>
      <c r="B111" s="27" t="s">
        <v>65</v>
      </c>
      <c r="C111" s="28">
        <v>28484278</v>
      </c>
      <c r="D111" s="6" t="s">
        <v>241</v>
      </c>
      <c r="E111" s="2"/>
      <c r="F111" s="2"/>
      <c r="G111" s="2"/>
      <c r="H111" s="2"/>
    </row>
    <row r="112" spans="1:8" ht="18.600000000000001" customHeight="1" x14ac:dyDescent="0.25">
      <c r="A112" s="37">
        <v>111</v>
      </c>
      <c r="B112" s="27" t="s">
        <v>63</v>
      </c>
      <c r="C112" s="28">
        <v>3982644</v>
      </c>
      <c r="D112" s="6" t="s">
        <v>242</v>
      </c>
      <c r="E112" s="2"/>
      <c r="F112" s="2"/>
      <c r="G112" s="2"/>
      <c r="H112" s="2"/>
    </row>
    <row r="113" spans="1:8" ht="18.600000000000001" customHeight="1" x14ac:dyDescent="0.25">
      <c r="A113" s="37">
        <v>112</v>
      </c>
      <c r="B113" s="27" t="s">
        <v>86</v>
      </c>
      <c r="C113" s="28">
        <v>30783147</v>
      </c>
      <c r="D113" s="33" t="s">
        <v>263</v>
      </c>
      <c r="E113" s="2"/>
      <c r="F113" s="2"/>
      <c r="G113" s="2"/>
      <c r="H113" s="2"/>
    </row>
    <row r="114" spans="1:8" ht="18.600000000000001" customHeight="1" x14ac:dyDescent="0.25">
      <c r="A114" s="37">
        <v>113</v>
      </c>
      <c r="B114" s="27" t="s">
        <v>87</v>
      </c>
      <c r="C114" s="28">
        <v>3980693</v>
      </c>
      <c r="D114" s="33" t="s">
        <v>264</v>
      </c>
      <c r="E114" s="2"/>
      <c r="F114" s="2"/>
      <c r="G114" s="2"/>
      <c r="H114" s="2"/>
    </row>
    <row r="115" spans="1:8" ht="18.600000000000001" customHeight="1" x14ac:dyDescent="0.25">
      <c r="A115" s="37">
        <v>114</v>
      </c>
      <c r="B115" s="27" t="s">
        <v>33</v>
      </c>
      <c r="C115" s="28">
        <v>23151382</v>
      </c>
      <c r="D115" s="6" t="s">
        <v>262</v>
      </c>
      <c r="E115" s="2"/>
      <c r="F115" s="2"/>
      <c r="G115" s="2"/>
      <c r="H115" s="2"/>
    </row>
  </sheetData>
  <pageMargins left="0.25" right="0.11458333333333333" top="0.44791666666666669" bottom="0.75" header="0.15625" footer="0.3"/>
  <pageSetup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A5709-B5CF-42EB-8ACD-8427F4190322}">
  <sheetPr codeName="Hoja13"/>
  <dimension ref="A1"/>
  <sheetViews>
    <sheetView showRuler="0" view="pageLayout" zoomScaleNormal="100" workbookViewId="0"/>
  </sheetViews>
  <sheetFormatPr baseColWidth="10" defaultColWidth="11.42578125" defaultRowHeight="15" x14ac:dyDescent="0.25"/>
  <cols>
    <col min="1" max="1" width="1.7109375" style="1" customWidth="1"/>
    <col min="2" max="2" width="2.85546875" style="1" customWidth="1"/>
    <col min="3" max="3" width="14.140625" style="1" customWidth="1"/>
    <col min="4" max="4" width="4.28515625" style="1" customWidth="1"/>
    <col min="5" max="5" width="18.5703125" style="1" customWidth="1"/>
    <col min="6" max="6" width="8.5703125" style="1" customWidth="1"/>
    <col min="7" max="7" width="5.42578125" style="1" customWidth="1"/>
    <col min="8" max="8" width="16.28515625" style="1" customWidth="1"/>
    <col min="9" max="9" width="10" style="1" customWidth="1"/>
    <col min="10" max="10" width="5.42578125" style="1" customWidth="1"/>
    <col min="11" max="11" width="14.140625" style="1" customWidth="1"/>
    <col min="12" max="12" width="1" style="1" customWidth="1"/>
    <col min="13" max="16384" width="11.42578125" style="1"/>
  </cols>
  <sheetData/>
  <printOptions horizontalCentered="1"/>
  <pageMargins left="0.27559055118110237" right="0.23622047244094491" top="0.55118110236220474" bottom="0.55118110236220474" header="0.31496062992125984" footer="0.31496062992125984"/>
  <pageSetup scale="92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B87B-3170-4002-BE26-5738851E408C}">
  <sheetPr codeName="Hoja14"/>
  <dimension ref="A1"/>
  <sheetViews>
    <sheetView showRuler="0" view="pageLayout" zoomScaleNormal="100" workbookViewId="0"/>
  </sheetViews>
  <sheetFormatPr baseColWidth="10" defaultColWidth="11.42578125" defaultRowHeight="15" x14ac:dyDescent="0.25"/>
  <cols>
    <col min="1" max="1" width="1.7109375" style="1" customWidth="1"/>
    <col min="2" max="2" width="2.85546875" style="1" customWidth="1"/>
    <col min="3" max="3" width="15.28515625" style="1" customWidth="1"/>
    <col min="4" max="4" width="2.5703125" style="1" customWidth="1"/>
    <col min="5" max="5" width="18.5703125" style="1" customWidth="1"/>
    <col min="6" max="6" width="8.5703125" style="1" customWidth="1"/>
    <col min="7" max="7" width="5.42578125" style="1" customWidth="1"/>
    <col min="8" max="8" width="16.28515625" style="1" customWidth="1"/>
    <col min="9" max="9" width="10" style="1" customWidth="1"/>
    <col min="10" max="10" width="5.42578125" style="1" customWidth="1"/>
    <col min="11" max="11" width="14.140625" style="1" customWidth="1"/>
    <col min="12" max="12" width="1" style="1" customWidth="1"/>
    <col min="13" max="16384" width="11.42578125" style="1"/>
  </cols>
  <sheetData/>
  <printOptions horizontalCentered="1"/>
  <pageMargins left="0.27559055118110237" right="0.23622047244094491" top="0.55118110236220474" bottom="0.55118110236220474" header="0.31496062992125984" footer="0.31496062992125984"/>
  <pageSetup scale="92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67EDE-34E2-4C83-A607-2BEFC3F7A938}">
  <sheetPr codeName="Hoja7"/>
  <dimension ref="A1:G47"/>
  <sheetViews>
    <sheetView showRuler="0" zoomScaleNormal="100" workbookViewId="0">
      <selection activeCell="E1" sqref="E1:F1"/>
    </sheetView>
  </sheetViews>
  <sheetFormatPr baseColWidth="10" defaultRowHeight="15" x14ac:dyDescent="0.25"/>
  <cols>
    <col min="1" max="3" width="11.42578125" style="53"/>
    <col min="4" max="4" width="14.42578125" style="53" customWidth="1"/>
    <col min="5" max="16384" width="11.42578125" style="53"/>
  </cols>
  <sheetData>
    <row r="1" spans="1:7" ht="26.25" x14ac:dyDescent="0.4">
      <c r="A1" s="257" t="s">
        <v>329</v>
      </c>
      <c r="B1" s="257"/>
      <c r="C1" s="257"/>
      <c r="D1" s="145" t="s">
        <v>347</v>
      </c>
      <c r="E1" s="258" t="str">
        <f>'Actualzar para factura'!$I$3</f>
        <v>AGOSTO</v>
      </c>
      <c r="F1" s="258"/>
      <c r="G1" s="146">
        <v>2025</v>
      </c>
    </row>
    <row r="2" spans="1:7" x14ac:dyDescent="0.25">
      <c r="A2" s="61"/>
      <c r="B2" s="61"/>
      <c r="C2" s="61"/>
      <c r="D2" s="61"/>
      <c r="E2" s="61"/>
      <c r="F2" s="61"/>
      <c r="G2" s="61"/>
    </row>
    <row r="3" spans="1:7" x14ac:dyDescent="0.25">
      <c r="A3" s="61" t="s">
        <v>330</v>
      </c>
      <c r="B3" s="61"/>
      <c r="C3" s="63">
        <f>'Actualzar para factura'!$G$121</f>
        <v>113</v>
      </c>
      <c r="D3" s="61"/>
      <c r="E3" s="61"/>
      <c r="F3" s="61"/>
      <c r="G3" s="61"/>
    </row>
    <row r="4" spans="1:7" x14ac:dyDescent="0.25">
      <c r="A4" s="61"/>
      <c r="B4" s="61"/>
      <c r="C4" s="62"/>
      <c r="D4" s="61"/>
      <c r="E4" s="61"/>
      <c r="F4" s="61"/>
      <c r="G4" s="61"/>
    </row>
    <row r="5" spans="1:7" x14ac:dyDescent="0.25">
      <c r="A5" s="61" t="s">
        <v>338</v>
      </c>
      <c r="B5" s="61"/>
      <c r="C5" s="62"/>
      <c r="D5" s="60">
        <f>'Actualzar para factura'!F1</f>
        <v>5345665.2</v>
      </c>
      <c r="E5" s="61"/>
      <c r="F5" s="61"/>
      <c r="G5" s="61"/>
    </row>
    <row r="6" spans="1:7" x14ac:dyDescent="0.25">
      <c r="A6" s="61"/>
      <c r="B6" s="61"/>
      <c r="C6" s="61"/>
      <c r="D6" s="61"/>
      <c r="E6" s="61"/>
      <c r="F6" s="61"/>
      <c r="G6" s="61"/>
    </row>
    <row r="7" spans="1:7" x14ac:dyDescent="0.25">
      <c r="A7" s="61" t="s">
        <v>339</v>
      </c>
      <c r="B7" s="61"/>
      <c r="C7" s="61"/>
      <c r="D7" s="64">
        <f>'Actualzar para factura'!L1</f>
        <v>1494.4659999999999</v>
      </c>
      <c r="E7" s="61"/>
      <c r="F7" s="61"/>
      <c r="G7" s="61"/>
    </row>
    <row r="8" spans="1:7" x14ac:dyDescent="0.25">
      <c r="A8" s="61"/>
      <c r="B8" s="61"/>
      <c r="C8" s="61"/>
      <c r="D8" s="61"/>
      <c r="E8" s="61"/>
      <c r="F8" s="61"/>
      <c r="G8" s="61"/>
    </row>
    <row r="9" spans="1:7" x14ac:dyDescent="0.25">
      <c r="A9" s="61" t="s">
        <v>331</v>
      </c>
      <c r="B9" s="61"/>
      <c r="C9" s="61"/>
      <c r="D9" s="60">
        <f>'Actualzar para factura'!N1</f>
        <v>1600281</v>
      </c>
      <c r="E9" s="61"/>
      <c r="F9" s="61"/>
      <c r="G9" s="61"/>
    </row>
    <row r="10" spans="1:7" x14ac:dyDescent="0.25">
      <c r="A10" s="61"/>
      <c r="B10" s="61"/>
      <c r="C10" s="61"/>
      <c r="D10" s="61"/>
      <c r="E10" s="61"/>
      <c r="F10" s="61"/>
      <c r="G10" s="61"/>
    </row>
    <row r="11" spans="1:7" x14ac:dyDescent="0.25">
      <c r="A11" s="61" t="s">
        <v>332</v>
      </c>
      <c r="B11" s="61"/>
      <c r="C11" s="61"/>
      <c r="D11" s="60"/>
      <c r="E11" s="61"/>
      <c r="F11" s="61"/>
      <c r="G11" s="61"/>
    </row>
    <row r="12" spans="1:7" x14ac:dyDescent="0.25">
      <c r="A12" s="61"/>
      <c r="B12" s="61"/>
      <c r="C12" s="61"/>
      <c r="D12" s="61"/>
      <c r="E12" s="61"/>
      <c r="F12" s="61"/>
      <c r="G12" s="61"/>
    </row>
    <row r="13" spans="1:7" x14ac:dyDescent="0.25">
      <c r="A13" s="61" t="s">
        <v>333</v>
      </c>
      <c r="B13" s="61"/>
      <c r="C13" s="61"/>
      <c r="D13" s="60">
        <f>'Actualzar para factura'!S1</f>
        <v>0</v>
      </c>
      <c r="E13" s="61"/>
      <c r="F13" s="61"/>
      <c r="G13" s="61"/>
    </row>
    <row r="14" spans="1:7" x14ac:dyDescent="0.25">
      <c r="A14" s="61"/>
      <c r="B14" s="61"/>
      <c r="C14" s="61"/>
      <c r="D14" s="61"/>
      <c r="E14" s="61"/>
      <c r="F14" s="61"/>
      <c r="G14" s="61"/>
    </row>
    <row r="15" spans="1:7" x14ac:dyDescent="0.25">
      <c r="A15" s="61" t="s">
        <v>334</v>
      </c>
      <c r="B15" s="61"/>
      <c r="C15" s="61"/>
      <c r="D15" s="60">
        <f>'Actualzar para factura'!R1</f>
        <v>0</v>
      </c>
      <c r="E15" s="61"/>
      <c r="F15" s="61"/>
      <c r="G15" s="61"/>
    </row>
    <row r="16" spans="1:7" x14ac:dyDescent="0.25">
      <c r="A16" s="61"/>
      <c r="B16" s="61"/>
      <c r="C16" s="61"/>
      <c r="D16" s="61"/>
      <c r="E16" s="61"/>
      <c r="F16" s="61"/>
      <c r="G16" s="61"/>
    </row>
    <row r="17" spans="1:7" x14ac:dyDescent="0.25">
      <c r="A17" s="61" t="s">
        <v>337</v>
      </c>
      <c r="B17" s="61"/>
      <c r="C17" s="61"/>
      <c r="D17" s="60">
        <f>'Actualzar para factura'!T1</f>
        <v>7577646.2000000002</v>
      </c>
      <c r="E17" s="61"/>
      <c r="F17" s="61"/>
      <c r="G17" s="61"/>
    </row>
    <row r="18" spans="1:7" x14ac:dyDescent="0.25">
      <c r="A18" s="61"/>
      <c r="B18" s="61"/>
      <c r="C18" s="61"/>
      <c r="D18" s="61"/>
      <c r="E18" s="61"/>
      <c r="F18" s="61"/>
      <c r="G18" s="61"/>
    </row>
    <row r="19" spans="1:7" x14ac:dyDescent="0.25">
      <c r="A19" s="61" t="s">
        <v>352</v>
      </c>
      <c r="B19" s="61"/>
      <c r="C19" s="61"/>
      <c r="D19" s="65">
        <f>'Actualzar para factura'!S121</f>
        <v>0</v>
      </c>
      <c r="E19" s="61"/>
      <c r="F19" s="61"/>
      <c r="G19" s="61"/>
    </row>
    <row r="20" spans="1:7" x14ac:dyDescent="0.25">
      <c r="A20" s="61"/>
      <c r="B20" s="61"/>
      <c r="C20" s="61"/>
      <c r="D20" s="61"/>
      <c r="E20" s="61"/>
      <c r="F20" s="61"/>
      <c r="G20" s="61"/>
    </row>
    <row r="21" spans="1:7" x14ac:dyDescent="0.25">
      <c r="A21" s="61" t="s">
        <v>353</v>
      </c>
      <c r="B21" s="61"/>
      <c r="C21" s="61"/>
      <c r="D21" s="65">
        <f>'Actualzar para factura'!R121</f>
        <v>0</v>
      </c>
      <c r="E21" s="61"/>
      <c r="F21" s="61"/>
      <c r="G21" s="61"/>
    </row>
    <row r="22" spans="1:7" x14ac:dyDescent="0.25">
      <c r="A22" s="61"/>
      <c r="B22" s="61"/>
      <c r="C22" s="61"/>
      <c r="D22" s="61"/>
      <c r="E22" s="61"/>
      <c r="F22" s="61"/>
      <c r="G22" s="61"/>
    </row>
    <row r="23" spans="1:7" x14ac:dyDescent="0.25">
      <c r="A23" s="61"/>
      <c r="B23" s="61"/>
      <c r="C23" s="61"/>
      <c r="D23" s="61"/>
      <c r="E23" s="61"/>
      <c r="F23" s="61"/>
      <c r="G23" s="61"/>
    </row>
    <row r="24" spans="1:7" x14ac:dyDescent="0.25">
      <c r="A24" s="61"/>
      <c r="B24" s="61"/>
      <c r="C24" s="61"/>
      <c r="D24" s="61"/>
      <c r="E24" s="61"/>
      <c r="F24" s="61"/>
      <c r="G24" s="61"/>
    </row>
    <row r="25" spans="1:7" x14ac:dyDescent="0.25">
      <c r="A25" s="61"/>
      <c r="B25" s="61"/>
      <c r="C25" s="61"/>
      <c r="D25" s="61"/>
      <c r="E25" s="61"/>
      <c r="F25" s="61"/>
      <c r="G25" s="61"/>
    </row>
    <row r="26" spans="1:7" x14ac:dyDescent="0.25">
      <c r="A26" s="61"/>
      <c r="B26" s="61"/>
      <c r="C26" s="61"/>
      <c r="D26" s="61"/>
      <c r="E26" s="61"/>
      <c r="F26" s="61"/>
      <c r="G26" s="61"/>
    </row>
    <row r="27" spans="1:7" x14ac:dyDescent="0.25">
      <c r="A27" s="61"/>
      <c r="B27" s="61"/>
      <c r="C27" s="61"/>
      <c r="D27" s="61"/>
      <c r="E27" s="61"/>
      <c r="F27" s="61"/>
      <c r="G27" s="61"/>
    </row>
    <row r="28" spans="1:7" x14ac:dyDescent="0.25">
      <c r="A28" s="61"/>
      <c r="B28" s="61"/>
      <c r="C28" s="61"/>
      <c r="D28" s="61"/>
      <c r="E28" s="61"/>
      <c r="F28" s="61"/>
      <c r="G28" s="61"/>
    </row>
    <row r="29" spans="1:7" x14ac:dyDescent="0.25">
      <c r="A29" s="61"/>
      <c r="B29" s="61"/>
      <c r="C29" s="61"/>
      <c r="D29" s="61"/>
      <c r="E29" s="61"/>
      <c r="F29" s="61"/>
      <c r="G29" s="61"/>
    </row>
    <row r="30" spans="1:7" x14ac:dyDescent="0.25">
      <c r="A30" s="61"/>
      <c r="B30" s="61"/>
      <c r="C30" s="61"/>
      <c r="D30" s="61"/>
      <c r="E30" s="61"/>
      <c r="F30" s="61"/>
      <c r="G30" s="61"/>
    </row>
    <row r="31" spans="1:7" x14ac:dyDescent="0.25">
      <c r="A31" s="61"/>
      <c r="B31" s="61"/>
      <c r="C31" s="61"/>
      <c r="D31" s="61"/>
      <c r="E31" s="61"/>
      <c r="F31" s="61"/>
      <c r="G31" s="61"/>
    </row>
    <row r="32" spans="1:7" x14ac:dyDescent="0.25">
      <c r="A32" s="61"/>
      <c r="B32" s="61"/>
      <c r="C32" s="61"/>
      <c r="D32" s="61"/>
      <c r="E32" s="61"/>
      <c r="F32" s="61"/>
      <c r="G32" s="61"/>
    </row>
    <row r="33" spans="1:7" x14ac:dyDescent="0.25">
      <c r="A33" s="61"/>
      <c r="B33" s="61"/>
      <c r="C33" s="61"/>
      <c r="D33" s="61"/>
      <c r="E33" s="61"/>
      <c r="F33" s="61"/>
      <c r="G33" s="61"/>
    </row>
    <row r="34" spans="1:7" x14ac:dyDescent="0.25">
      <c r="A34" s="61"/>
      <c r="B34" s="61"/>
      <c r="C34" s="61"/>
      <c r="D34" s="61"/>
      <c r="E34" s="61"/>
      <c r="F34" s="61"/>
      <c r="G34" s="61"/>
    </row>
    <row r="35" spans="1:7" x14ac:dyDescent="0.25">
      <c r="A35" s="61"/>
      <c r="B35" s="61"/>
      <c r="C35" s="61"/>
      <c r="D35" s="61"/>
      <c r="E35" s="61"/>
      <c r="F35" s="61"/>
      <c r="G35" s="61"/>
    </row>
    <row r="36" spans="1:7" x14ac:dyDescent="0.25">
      <c r="A36" s="61"/>
      <c r="B36" s="61"/>
      <c r="C36" s="61"/>
      <c r="D36" s="61"/>
      <c r="E36" s="61"/>
      <c r="F36" s="61"/>
      <c r="G36" s="61"/>
    </row>
    <row r="37" spans="1:7" x14ac:dyDescent="0.25">
      <c r="A37" s="61"/>
      <c r="B37" s="61"/>
      <c r="C37" s="61"/>
      <c r="D37" s="61"/>
      <c r="E37" s="61"/>
      <c r="F37" s="61"/>
      <c r="G37" s="61"/>
    </row>
    <row r="38" spans="1:7" x14ac:dyDescent="0.25">
      <c r="A38" s="61"/>
      <c r="B38" s="61"/>
      <c r="C38" s="61"/>
      <c r="D38" s="61"/>
      <c r="E38" s="61"/>
      <c r="F38" s="61"/>
      <c r="G38" s="61"/>
    </row>
    <row r="39" spans="1:7" x14ac:dyDescent="0.25">
      <c r="A39" s="61"/>
      <c r="B39" s="61"/>
      <c r="C39" s="61"/>
      <c r="D39" s="61"/>
      <c r="E39" s="61"/>
      <c r="F39" s="61"/>
      <c r="G39" s="61"/>
    </row>
    <row r="40" spans="1:7" x14ac:dyDescent="0.25">
      <c r="A40" s="61"/>
      <c r="B40" s="61"/>
      <c r="C40" s="61"/>
      <c r="D40" s="61"/>
      <c r="E40" s="61"/>
      <c r="F40" s="61"/>
      <c r="G40" s="61"/>
    </row>
    <row r="41" spans="1:7" x14ac:dyDescent="0.25">
      <c r="A41" s="61"/>
      <c r="B41" s="61"/>
      <c r="C41" s="61"/>
      <c r="D41" s="61"/>
      <c r="E41" s="61"/>
      <c r="F41" s="61"/>
      <c r="G41" s="61"/>
    </row>
    <row r="42" spans="1:7" x14ac:dyDescent="0.25">
      <c r="A42" s="61"/>
      <c r="B42" s="61"/>
      <c r="C42" s="61"/>
      <c r="D42" s="61"/>
      <c r="E42" s="61"/>
      <c r="F42" s="61"/>
      <c r="G42" s="61"/>
    </row>
    <row r="43" spans="1:7" x14ac:dyDescent="0.25">
      <c r="A43" s="61"/>
      <c r="B43" s="61"/>
      <c r="C43" s="61"/>
      <c r="D43" s="61"/>
      <c r="E43" s="61"/>
      <c r="F43" s="61"/>
      <c r="G43" s="61"/>
    </row>
    <row r="44" spans="1:7" x14ac:dyDescent="0.25">
      <c r="A44" s="61"/>
      <c r="B44" s="61"/>
      <c r="C44" s="61"/>
      <c r="D44" s="61"/>
      <c r="E44" s="61"/>
      <c r="F44" s="61"/>
      <c r="G44" s="61"/>
    </row>
    <row r="45" spans="1:7" x14ac:dyDescent="0.25">
      <c r="A45" s="61"/>
      <c r="B45" s="61"/>
      <c r="C45" s="61"/>
      <c r="D45" s="61"/>
      <c r="E45" s="61"/>
      <c r="F45" s="61"/>
      <c r="G45" s="61"/>
    </row>
    <row r="46" spans="1:7" x14ac:dyDescent="0.25">
      <c r="E46" s="61"/>
      <c r="F46" s="61"/>
      <c r="G46" s="61"/>
    </row>
    <row r="47" spans="1:7" x14ac:dyDescent="0.25">
      <c r="E47" s="61"/>
      <c r="F47" s="61"/>
      <c r="G47" s="61"/>
    </row>
  </sheetData>
  <mergeCells count="2">
    <mergeCell ref="A1:C1"/>
    <mergeCell ref="E1:F1"/>
  </mergeCells>
  <conditionalFormatting sqref="E1:F1">
    <cfRule type="cellIs" dxfId="0" priority="1" operator="equal">
      <formula>0</formula>
    </cfRule>
  </conditionalFormatting>
  <pageMargins left="0.7" right="0.7" top="0.75" bottom="0.75" header="0.3" footer="0.3"/>
  <pageSetup scale="98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USUARIOS</vt:lpstr>
      <vt:lpstr>Actualzar para factura</vt:lpstr>
      <vt:lpstr>PEG. USUARIO A FACTURAR</vt:lpstr>
      <vt:lpstr>VER FACTURA</vt:lpstr>
      <vt:lpstr>LISTADO</vt:lpstr>
      <vt:lpstr>TODAS LAS FACTURAS</vt:lpstr>
      <vt:lpstr>(Copia)TODAS LAS FACTURAS (4)</vt:lpstr>
      <vt:lpstr>Informe mensual</vt:lpstr>
      <vt:lpstr>'VER FACTURA'!Área_de_impresión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Adalberto Rojas Díaz</dc:creator>
  <cp:lastModifiedBy>Adalberto Rojas Díaz</cp:lastModifiedBy>
  <cp:lastPrinted>2025-09-08T17:53:27Z</cp:lastPrinted>
  <dcterms:created xsi:type="dcterms:W3CDTF">2024-02-10T20:19:22Z</dcterms:created>
  <dcterms:modified xsi:type="dcterms:W3CDTF">2026-01-13T01:49:29Z</dcterms:modified>
</cp:coreProperties>
</file>